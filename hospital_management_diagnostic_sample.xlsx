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0074b221e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bfd30a01da774d6e"/>
    <x:sheet xmlns:r="http://schemas.openxmlformats.org/officeDocument/2006/relationships" name="기관정보" sheetId="2" r:id="R49d23f9cba594681"/>
    <x:sheet xmlns:r="http://schemas.openxmlformats.org/officeDocument/2006/relationships" name="월간매출" sheetId="3" r:id="R4715c2c5941540f8"/>
    <x:sheet xmlns:r="http://schemas.openxmlformats.org/officeDocument/2006/relationships" name="인건비" sheetId="4" r:id="Rd9f94febdbb742c2"/>
    <x:sheet xmlns:r="http://schemas.openxmlformats.org/officeDocument/2006/relationships" name="고정비" sheetId="5" r:id="Rfef94ef52cf2495b"/>
    <x:sheet xmlns:r="http://schemas.openxmlformats.org/officeDocument/2006/relationships" name="구매비" sheetId="6" r:id="Rda032c1de9fb4143"/>
    <x:sheet xmlns:r="http://schemas.openxmlformats.org/officeDocument/2006/relationships" name="원무지표" sheetId="7" r:id="Rebbc74fa88f8430c"/>
    <x:sheet xmlns:r="http://schemas.openxmlformats.org/officeDocument/2006/relationships" name="주상병집계" sheetId="8" r:id="Rbf12875711c640d5"/>
    <x:sheet xmlns:r="http://schemas.openxmlformats.org/officeDocument/2006/relationships" name="운영지표" sheetId="9" r:id="Rec3d3ff22ba94749"/>
    <x:sheet xmlns:r="http://schemas.openxmlformats.org/officeDocument/2006/relationships" name="목표벤치마크" sheetId="10" r:id="Red75c4382cfd4db3"/>
    <x:sheet xmlns:r="http://schemas.openxmlformats.org/officeDocument/2006/relationships" name="대시보드" sheetId="11" r:id="Rbcb50d4eaf9f4ffe"/>
    <x:sheet xmlns:r="http://schemas.openxmlformats.org/officeDocument/2006/relationships" name="검증" sheetId="12" r:id="Rb60225c0bac0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yyyy-mm"/>
    <x:numFmt numFmtId="202" formatCode="&quot;₩&quot;#,##0;[Red](&quot;₩&quot;#,##0);-"/>
    <x:numFmt numFmtId="203" formatCode="#,##0"/>
    <x:numFmt numFmtId="204" formatCode="0.0%;[Red](0.0%);-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354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b/>
      <x:sz val="11"/>
      <x:color rgb="FF008000"/>
      <x:name val="Carlito"/>
    </x:font>
    <x:font>
      <x:sz val="11"/>
      <x:color rgb="FF008000"/>
      <x:name val="Carlito"/>
    </x:font>
    <x:font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354"/>
      </x:patternFill>
    </x:fill>
    <x:fill>
      <x:patternFill patternType="solid">
        <x:fgColor rgb="FFF2F7F8"/>
      </x:patternFill>
    </x:fill>
    <x:fill>
      <x:patternFill patternType="solid">
        <x:fgColor rgb="FF1F708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5" fillId="3" borderId="0" xfId="0" applyNumberFormat="1" applyFont="1" applyFill="1" applyBorder="1"/>
    <x:xf numFmtId="201" fontId="4" fillId="5" borderId="0" xfId="0" applyNumberFormat="1" applyFont="1" applyFill="1" applyBorder="1"/>
    <x:xf numFmtId="202" fontId="4" fillId="5" borderId="0" xfId="0" applyNumberFormat="1" applyFont="1" applyFill="1" applyBorder="1"/>
    <x:xf numFmtId="202" fontId="5" fillId="3" borderId="0" xfId="0" applyNumberFormat="1" applyFont="1" applyFill="1" applyBorder="1"/>
    <x:xf numFmtId="203" fontId="4" fillId="5" borderId="0" xfId="0" applyNumberFormat="1" applyFont="1" applyFill="1" applyBorder="1"/>
    <x:xf numFmtId="204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202" fontId="6" fillId="3" borderId="0" xfId="0" applyNumberFormat="1" applyFont="1" applyFill="1" applyBorder="1"/>
    <x:xf numFmtId="204" fontId="6" fillId="3" borderId="0" xfId="0" applyNumberFormat="1" applyFont="1" applyFill="1" applyBorder="1"/>
    <x:xf numFmtId="202" fontId="0" fillId="0" borderId="0" xfId="0" applyNumberFormat="1" applyFont="1" applyFill="1" applyBorder="1"/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3" borderId="0" xfId="0" applyNumberFormat="1" applyFont="1" applyFill="1" applyBorder="1"/>
    <x:xf numFmtId="203" fontId="0" fillId="3" borderId="0" xfId="0" applyNumberFormat="1" applyFont="1" applyFill="1" applyBorder="1"/>
    <x:xf numFmtId="202" fontId="8" fillId="3" borderId="0" xfId="0" applyNumberFormat="1" applyFont="1" applyFill="1" applyBorder="1"/>
    <x:xf numFmtId="0" fontId="8" fillId="3" borderId="0" xfId="0" applyNumberFormat="1" applyFont="1" applyFill="1" applyBorder="1"/>
    <x:xf numFmtId="203" fontId="8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3bff0dad74ea8" /><Relationship Type="http://schemas.openxmlformats.org/officeDocument/2006/relationships/theme" Target="/xl/theme/theme1.xml" Id="Rdce4be9c4b134f56" /><Relationship Type="http://schemas.openxmlformats.org/officeDocument/2006/relationships/sharedStrings" Target="/xl/sharedStrings.xml" Id="Rc6174570974f4eac" /><Relationship Type="http://schemas.openxmlformats.org/officeDocument/2006/relationships/worksheet" Target="/xl/worksheets/sheet1.xml" Id="Rbfd30a01da774d6e" /><Relationship Type="http://schemas.openxmlformats.org/officeDocument/2006/relationships/worksheet" Target="/xl/worksheets/sheet2.xml" Id="R49d23f9cba594681" /><Relationship Type="http://schemas.openxmlformats.org/officeDocument/2006/relationships/worksheet" Target="/xl/worksheets/sheet3.xml" Id="R4715c2c5941540f8" /><Relationship Type="http://schemas.openxmlformats.org/officeDocument/2006/relationships/worksheet" Target="/xl/worksheets/sheet4.xml" Id="Rd9f94febdbb742c2" /><Relationship Type="http://schemas.openxmlformats.org/officeDocument/2006/relationships/worksheet" Target="/xl/worksheets/sheet5.xml" Id="Rfef94ef52cf2495b" /><Relationship Type="http://schemas.openxmlformats.org/officeDocument/2006/relationships/worksheet" Target="/xl/worksheets/sheet6.xml" Id="Rda032c1de9fb4143" /><Relationship Type="http://schemas.openxmlformats.org/officeDocument/2006/relationships/worksheet" Target="/xl/worksheets/sheet7.xml" Id="Rebbc74fa88f8430c" /><Relationship Type="http://schemas.openxmlformats.org/officeDocument/2006/relationships/worksheet" Target="/xl/worksheets/sheet8.xml" Id="Rbf12875711c640d5" /><Relationship Type="http://schemas.openxmlformats.org/officeDocument/2006/relationships/worksheet" Target="/xl/worksheets/sheet9.xml" Id="Rec3d3ff22ba94749" /><Relationship Type="http://schemas.openxmlformats.org/officeDocument/2006/relationships/worksheet" Target="/xl/worksheets/sheet10.xml" Id="Red75c4382cfd4db3" /><Relationship Type="http://schemas.openxmlformats.org/officeDocument/2006/relationships/worksheet" Target="/xl/worksheets/sheet11.xml" Id="Rbcb50d4eaf9f4ffe" /><Relationship Type="http://schemas.openxmlformats.org/officeDocument/2006/relationships/worksheet" Target="/xl/worksheets/sheet12.xml" Id="Rb60225c0bac04d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c281e32dbc42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매출과 경영잉여 추이 (원)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총매출</c:v>
          </c:tx>
          <c:cat>
            <c:strRef>
              <c:f>'대시보드'!$D$5:$D$16</c:f>
              <c:strCache>
                <c:ptCount val="0"/>
              </c:strCache>
            </c:strRef>
          </c:cat>
          <c:val>
            <c:numRef>
              <c:f>'대시보드'!$E$5:$E$16</c:f>
              <c:numCache>
                <c:formatCode>"₩"#,##0;[Red]("₩"#,##0);-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경영잉여</c:v>
          </c:tx>
          <c:cat>
            <c:strRef>
              <c:f>'대시보드'!$D$5:$D$16</c:f>
              <c:strCache>
                <c:ptCount val="0"/>
              </c:strCache>
            </c:strRef>
          </c:cat>
          <c:val>
            <c:numRef>
              <c:f>'대시보드'!$F$5:$F$16</c:f>
              <c:numCache>
                <c:formatCode>"₩"#,##0;[Red]("₩"#,##0);-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₩&quot;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c281e32dbc42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venueInputTable" displayName="RevenueInputTable" ref="A4:E16" headerRowCount="1">
  <x:tableColumns count="5">
    <x:tableColumn id="1" name="기준월"/>
    <x:tableColumn id="2" name="급여매출"/>
    <x:tableColumn id="3" name="비급여매출"/>
    <x:tableColumn id="4" name="기타매출"/>
    <x:tableColumn id="5" name="총매출"/>
  </x:tableColumns>
  <x:tableStyleInfo name="TableStyleMedium2" showRowStripes="1"/>
</x:table>
</file>

<file path=xl/tables/table2.xml><?xml version="1.0" encoding="utf-8"?>
<x:table xmlns:x="http://schemas.openxmlformats.org/spreadsheetml/2006/main" id="2" name="LaborInputTable" displayName="LaborInputTable" ref="A4:F40" headerRowCount="1">
  <x:tableColumns count="6">
    <x:tableColumn id="1" name="기준월"/>
    <x:tableColumn id="2" name="직군"/>
    <x:tableColumn id="3" name="세전급여"/>
    <x:tableColumn id="4" name="사용자부담세금보험"/>
    <x:tableColumn id="5" name="인센티브"/>
    <x:tableColumn id="6" name="퇴직충당금"/>
  </x:tableColumns>
  <x:tableStyleInfo name="TableStyleMedium2" showRowStripes="1"/>
</x:table>
</file>

<file path=xl/tables/table3.xml><?xml version="1.0" encoding="utf-8"?>
<x:table xmlns:x="http://schemas.openxmlformats.org/spreadsheetml/2006/main" id="3" name="FixedCostInputTable" displayName="FixedCostInputTable" ref="A4:K16" headerRowCount="1">
  <x:tableColumns count="11">
    <x:tableColumn id="1" name="기준월"/>
    <x:tableColumn id="2" name="장비렌탈"/>
    <x:tableColumn id="3" name="유지보수"/>
    <x:tableColumn id="4" name="임차료"/>
    <x:tableColumn id="5" name="전기료"/>
    <x:tableColumn id="6" name="수도료"/>
    <x:tableColumn id="7" name="통신비"/>
    <x:tableColumn id="8" name="부채이자"/>
    <x:tableColumn id="9" name="보험료"/>
    <x:tableColumn id="10" name="전산서비스"/>
    <x:tableColumn id="11" name="기타"/>
  </x:tableColumns>
  <x:tableStyleInfo name="TableStyleMedium2" showRowStripes="1"/>
</x:table>
</file>

<file path=xl/tables/table4.xml><?xml version="1.0" encoding="utf-8"?>
<x:table xmlns:x="http://schemas.openxmlformats.org/spreadsheetml/2006/main" id="4" name="PurchaseInputTable" displayName="PurchaseInputTable" ref="A4:D40" headerRowCount="1">
  <x:tableColumns count="4">
    <x:tableColumn id="1" name="기준월"/>
    <x:tableColumn id="2" name="구분"/>
    <x:tableColumn id="3" name="품목군"/>
    <x:tableColumn id="4" name="구매액"/>
  </x:tableColumns>
  <x:tableStyleInfo name="TableStyleMedium2" showRowStripes="1"/>
</x:table>
</file>

<file path=xl/tables/table5.xml><?xml version="1.0" encoding="utf-8"?>
<x:table xmlns:x="http://schemas.openxmlformats.org/spreadsheetml/2006/main" id="5" name="AdminInputTable" displayName="AdminInputTable" ref="A4:F16" headerRowCount="1">
  <x:tableColumns count="6">
    <x:tableColumn id="1" name="기준월"/>
    <x:tableColumn id="2" name="신환수"/>
    <x:tableColumn id="3" name="총내원환자수"/>
    <x:tableColumn id="4" name="재진수"/>
    <x:tableColumn id="5" name="급여청구건수"/>
    <x:tableColumn id="6" name="비급여환자수"/>
  </x:tableColumns>
  <x:tableStyleInfo name="TableStyleMedium2" showRowStripes="1"/>
</x:table>
</file>

<file path=xl/tables/table6.xml><?xml version="1.0" encoding="utf-8"?>
<x:table xmlns:x="http://schemas.openxmlformats.org/spreadsheetml/2006/main" id="6" name="DiagnosisAggregateInputTable" displayName="DiagnosisAggregateInputTable" ref="A4:D9" headerRowCount="1">
  <x:tableColumns count="4">
    <x:tableColumn id="1" name="기준월"/>
    <x:tableColumn id="2" name="주상병코드"/>
    <x:tableColumn id="3" name="주상병명"/>
    <x:tableColumn id="4" name="내원건수"/>
  </x:tableColumns>
  <x:tableStyleInfo name="TableStyleMedium2" showRowStripes="1"/>
</x:table>
</file>

<file path=xl/tables/table7.xml><?xml version="1.0" encoding="utf-8"?>
<x:table xmlns:x="http://schemas.openxmlformats.org/spreadsheetml/2006/main" id="7" name="OperationsInputTable" displayName="OperationsInputTable" ref="A4:I16" headerRowCount="1">
  <x:tableColumns count="9">
    <x:tableColumn id="1" name="기준월"/>
    <x:tableColumn id="2" name="진료일수"/>
    <x:tableColumn id="3" name="의사수"/>
    <x:tableColumn id="4" name="청구액"/>
    <x:tableColumn id="5" name="삭감액"/>
    <x:tableColumn id="6" name="미수금잔액"/>
    <x:tableColumn id="7" name="마케팅비"/>
    <x:tableColumn id="8" name="예약건수"/>
    <x:tableColumn id="9" name="예약부도건수"/>
  </x:tableColumns>
  <x:tableStyleInfo name="TableStyleMedium2" showRowStripes="1"/>
</x:table>
</file>

<file path=xl/tables/table8.xml><?xml version="1.0" encoding="utf-8"?>
<x:table xmlns:x="http://schemas.openxmlformats.org/spreadsheetml/2006/main" id="8" name="BenchmarkInputTable" displayName="BenchmarkInputTable" ref="A4:F13" headerRowCount="1">
  <x:tableColumns count="6">
    <x:tableColumn id="1" name="지표키"/>
    <x:tableColumn id="2" name="지표명"/>
    <x:tableColumn id="3" name="최소목표"/>
    <x:tableColumn id="4" name="최대목표"/>
    <x:tableColumn id="5" name="비교방향"/>
    <x:tableColumn id="6" name="출처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f76e43f50b74e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2518a37f5034b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b768b5d8dec4e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920b77f610e43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1ef58ff21a843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b9240403d5144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a85d009727f45d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e1915fef966546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a95cae197240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4" t="str">
        <x:v>병원 경영진단 PRO | 작성 샘플 양식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 ht="32" customHeight="1">
      <x:c r="A4" s="7" t="str">
        <x:v>용도</x:v>
      </x:c>
      <x:c r="B4" s="8" t="str">
        <x:v>Streamlit 업로드용 월간 집계 데이터 입력 예시</x:v>
      </x:c>
      <x:c r="C4" s="8"/>
      <x:c r="D4" s="8"/>
      <x:c r="E4" s="8"/>
      <x:c r="F4" s="8"/>
      <x:c r="G4" s="8"/>
      <x:c r="H4" s="8"/>
    </x:row>
    <x:row r="5" ht="32" customHeight="1">
      <x:c r="A5" s="7" t="str">
        <x:v>중요</x:v>
      </x:c>
      <x:c r="B5" s="8" t="str">
        <x:v>현재 입력값은 가상의 샘플이며 업계 벤치마크나 실제 병원 자료가 아닙니다.</x:v>
      </x:c>
      <x:c r="C5" s="8"/>
      <x:c r="D5" s="8"/>
      <x:c r="E5" s="8"/>
      <x:c r="F5" s="8"/>
      <x:c r="G5" s="8"/>
      <x:c r="H5" s="8"/>
    </x:row>
    <x:row r="6" ht="32" customHeight="1">
      <x:c r="A6" s="7" t="str">
        <x:v>개인정보</x:v>
      </x:c>
      <x:c r="B6" s="8" t="str">
        <x:v>환자명, 주민등록번호, 차트번호, 연락처 등 개인식별정보 입력 금지</x:v>
      </x:c>
      <x:c r="C6" s="8"/>
      <x:c r="D6" s="8"/>
      <x:c r="E6" s="8"/>
      <x:c r="F6" s="8"/>
      <x:c r="G6" s="8"/>
      <x:c r="H6" s="8"/>
    </x:row>
    <x:row r="7" ht="32" customHeight="1">
      <x:c r="A7" s="7" t="str">
        <x:v>입력방법</x:v>
      </x:c>
      <x:c r="B7" s="8" t="str">
        <x:v>노란색 셀의 샘플 값을 병원의 월별 집계값으로 교체합니다.</x:v>
      </x:c>
      <x:c r="C7" s="8"/>
      <x:c r="D7" s="8"/>
      <x:c r="E7" s="8"/>
      <x:c r="F7" s="8"/>
      <x:c r="G7" s="8"/>
      <x:c r="H7" s="8"/>
    </x:row>
    <x:row r="8" ht="32" customHeight="1">
      <x:c r="A8" s="7" t="str">
        <x:v>기준월</x:v>
      </x:c>
      <x:c r="B8" s="8" t="str">
        <x:v>각 시트에서 같은 월을 YYYY-MM-01 날짜 형식으로 입력합니다.</x:v>
      </x:c>
      <x:c r="C8" s="8"/>
      <x:c r="D8" s="8"/>
      <x:c r="E8" s="8"/>
      <x:c r="F8" s="8"/>
      <x:c r="G8" s="8"/>
      <x:c r="H8" s="8"/>
    </x:row>
    <x:row r="9" ht="32" customHeight="1">
      <x:c r="A9" s="7" t="str">
        <x:v>주상병</x:v>
      </x:c>
      <x:c r="B9" s="8" t="str">
        <x:v>환자 단위 자료가 아니라 월별 주상병 건수 합계만 입력합니다.</x:v>
      </x:c>
      <x:c r="C9" s="8"/>
      <x:c r="D9" s="8"/>
      <x:c r="E9" s="8"/>
      <x:c r="F9" s="8"/>
      <x:c r="G9" s="8"/>
      <x:c r="H9" s="8"/>
    </x:row>
    <x:row r="10" ht="32" customHeight="1">
      <x:c r="A10" s="7" t="str">
        <x:v>목표</x:v>
      </x:c>
      <x:c r="B10" s="8" t="str">
        <x:v>목표벤치마크는 컨설턴트가 확인한 내부 목표 또는 근거 있는 비교기준을 입력합니다.</x:v>
      </x:c>
      <x:c r="C10" s="8"/>
      <x:c r="D10" s="8"/>
      <x:c r="E10" s="8"/>
      <x:c r="F10" s="8"/>
      <x:c r="G10" s="8"/>
      <x:c r="H10" s="8"/>
    </x:row>
    <x:row r="11" ht="32" customHeight="1">
      <x:c r="A11" s="7" t="str">
        <x:v>경영잉여</x:v>
      </x:c>
      <x:c r="B11" s="8" t="str">
        <x:v>제출한 비용 항목을 차감한 관리지표이며 회계상 영업이익과 다를 수 있습니다.</x:v>
      </x:c>
      <x:c r="C11" s="8"/>
      <x:c r="D11" s="8"/>
      <x:c r="E11" s="8"/>
      <x:c r="F11" s="8"/>
      <x:c r="G11" s="8"/>
      <x:c r="H11" s="8"/>
    </x:row>
    <x:row r="12" ht="32" customHeight="1">
      <x:c r="A12" s="7" t="str">
        <x:v>필수 시트</x:v>
      </x:c>
      <x:c r="B12" s="8" t="str">
        <x:v>기관정보, 월간매출, 인건비, 고정비, 구매비, 원무지표, 주상병집계, 운영지표, 목표벤치마크</x:v>
      </x:c>
      <x:c r="C12" s="8"/>
      <x:c r="D12" s="8"/>
      <x:c r="E12" s="8"/>
      <x:c r="F12" s="8"/>
      <x:c r="G12" s="8"/>
      <x:c r="H12" s="8"/>
    </x:row>
    <x:row r="13" ht="32" customHeight="1">
      <x:c r="A13" s="7" t="str">
        <x:v>색상 안내</x:v>
      </x:c>
      <x:c r="B13" s="8" t="str">
        <x:v>노란 셀/파란 글자 = 입력값, 검정 글자 = 계산값, 초록 글자 = 다른 시트 참조값</x:v>
      </x:c>
      <x:c r="C13" s="8"/>
      <x:c r="D13" s="8"/>
      <x:c r="E13" s="8"/>
      <x:c r="F13" s="8"/>
      <x:c r="G13" s="8"/>
      <x:c r="H13" s="8"/>
    </x:row>
    <x:row r="14" ht="32" customHeight="1">
      <x:c r="A14" s="7" t="str">
        <x:v>버전</x:v>
      </x:c>
      <x:c r="B14" s="8" t="str">
        <x:v>v1.0 | 집계자료 기반 경영진단 입력양식</x:v>
      </x:c>
      <x:c r="C14" s="8"/>
      <x:c r="D14" s="8"/>
      <x:c r="E14" s="8"/>
      <x:c r="F14" s="8"/>
      <x:c r="G14" s="8"/>
      <x:c r="H14" s="8"/>
    </x:row>
  </x:sheetData>
  <x:mergeCells>
    <x:mergeCell ref="A1:H2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</x:cols>
  <x:sheetData>
    <x:row r="1" ht="34" customHeight="1">
      <x:c r="A1" s="4" t="str">
        <x:v>기관 기본정보</x:v>
      </x:c>
      <x:c r="B1" s="4"/>
      <x:c r="C1" s="4"/>
      <x:c r="D1" s="4"/>
    </x:row>
    <x:row r="2" ht="34" customHeight="1">
      <x:c r="A2" s="4"/>
      <x:c r="B2" s="4"/>
      <x:c r="C2" s="4"/>
      <x:c r="D2" s="4"/>
    </x:row>
    <x:row r="4" ht="30" customHeight="1">
      <x:c r="A4" s="13" t="str">
        <x:v>항목</x:v>
      </x:c>
      <x:c r="B4" s="13" t="str">
        <x:v>값</x:v>
      </x:c>
    </x:row>
    <x:row r="5">
      <x:c r="A5" t="str">
        <x:v>기관명</x:v>
      </x:c>
      <x:c r="B5" s="15" t="str">
        <x:v>가상 서울의원</x:v>
      </x:c>
    </x:row>
    <x:row r="6">
      <x:c r="A6" t="str">
        <x:v>진료과</x:v>
      </x:c>
      <x:c r="B6" s="15" t="str">
        <x:v>내과/일반진료</x:v>
      </x:c>
    </x:row>
    <x:row r="7">
      <x:c r="A7" t="str">
        <x:v>지역</x:v>
      </x:c>
      <x:c r="B7" s="15" t="str">
        <x:v>서울</x:v>
      </x:c>
    </x:row>
    <x:row r="8">
      <x:c r="A8" t="str">
        <x:v>분석단위</x:v>
      </x:c>
      <x:c r="B8" s="15" t="str">
        <x:v>월간</x:v>
      </x:c>
    </x:row>
    <x:row r="9">
      <x:c r="A9" t="str">
        <x:v>작성자 역할</x:v>
      </x:c>
      <x:c r="B9" s="15" t="str">
        <x:v>경영컨설턴트</x:v>
      </x:c>
    </x:row>
    <x:row r="10">
      <x:c r="A10" t="str">
        <x:v>작성기준일</x:v>
      </x:c>
      <x:c r="B10" s="16" t="n">
        <x:v>46169</x:v>
      </x:c>
    </x:row>
    <x:row r="11">
      <x:c r="A11" t="str">
        <x:v>자료구분</x:v>
      </x:c>
      <x:c r="B11" s="15" t="str">
        <x:v>가상 샘플</x:v>
      </x:c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4" customHeight="1">
      <x:c r="A1" s="4" t="str">
        <x:v>월간 매출 내역 | 원</x:v>
      </x:c>
      <x:c r="B1" s="4"/>
      <x:c r="C1" s="4"/>
      <x:c r="D1" s="4"/>
      <x:c r="E1" s="4"/>
      <x:c r="F1" s="4"/>
      <x:c r="G1" s="4"/>
    </x:row>
    <x:row r="2" ht="34" customHeight="1">
      <x:c r="A2" s="4"/>
      <x:c r="B2" s="4"/>
      <x:c r="C2" s="4"/>
      <x:c r="D2" s="4"/>
      <x:c r="E2" s="4"/>
      <x:c r="F2" s="4"/>
      <x:c r="G2" s="4"/>
    </x:row>
    <x:row r="4" ht="30" customHeight="1">
      <x:c r="A4" s="13" t="str">
        <x:v>기준월</x:v>
      </x:c>
      <x:c r="B4" s="13" t="str">
        <x:v>급여매출</x:v>
      </x:c>
      <x:c r="C4" s="13" t="str">
        <x:v>비급여매출</x:v>
      </x:c>
      <x:c r="D4" s="13" t="str">
        <x:v>기타매출</x:v>
      </x:c>
      <x:c r="E4" s="13" t="str">
        <x:v>총매출</x:v>
      </x:c>
    </x:row>
    <x:row r="5">
      <x:c r="A5" s="18" t="n">
        <x:v>45809</x:v>
      </x:c>
      <x:c r="B5" s="19" t="n">
        <x:v>150000000</x:v>
      </x:c>
      <x:c r="C5" s="19" t="n">
        <x:v>68000000</x:v>
      </x:c>
      <x:c r="D5" s="19" t="n">
        <x:v>2000000</x:v>
      </x:c>
      <x:c r="E5" s="20" t="n">
        <x:f>SUM(B5:D5)</x:f>
        <x:v>220000000</x:v>
      </x:c>
    </x:row>
    <x:row r="6">
      <x:c r="A6" s="18" t="n">
        <x:v>45839</x:v>
      </x:c>
      <x:c r="B6" s="19" t="n">
        <x:v>151700000</x:v>
      </x:c>
      <x:c r="C6" s="19" t="n">
        <x:v>69200000</x:v>
      </x:c>
      <x:c r="D6" s="19" t="n">
        <x:v>2000000</x:v>
      </x:c>
      <x:c r="E6" s="20" t="n">
        <x:f>SUM(B6:D6)</x:f>
        <x:v>222900000</x:v>
      </x:c>
    </x:row>
    <x:row r="7">
      <x:c r="A7" s="18" t="n">
        <x:v>45870</x:v>
      </x:c>
      <x:c r="B7" s="19" t="n">
        <x:v>153400000</x:v>
      </x:c>
      <x:c r="C7" s="19" t="n">
        <x:v>70400000</x:v>
      </x:c>
      <x:c r="D7" s="19" t="n">
        <x:v>2000000</x:v>
      </x:c>
      <x:c r="E7" s="20" t="n">
        <x:f>SUM(B7:D7)</x:f>
        <x:v>225800000</x:v>
      </x:c>
    </x:row>
    <x:row r="8">
      <x:c r="A8" s="18" t="n">
        <x:v>45901</x:v>
      </x:c>
      <x:c r="B8" s="19" t="n">
        <x:v>155100000</x:v>
      </x:c>
      <x:c r="C8" s="19" t="n">
        <x:v>71600000</x:v>
      </x:c>
      <x:c r="D8" s="19" t="n">
        <x:v>2000000</x:v>
      </x:c>
      <x:c r="E8" s="20" t="n">
        <x:f>SUM(B8:D8)</x:f>
        <x:v>228700000</x:v>
      </x:c>
    </x:row>
    <x:row r="9">
      <x:c r="A9" s="18" t="n">
        <x:v>45931</x:v>
      </x:c>
      <x:c r="B9" s="19" t="n">
        <x:v>156800000</x:v>
      </x:c>
      <x:c r="C9" s="19" t="n">
        <x:v>72800000</x:v>
      </x:c>
      <x:c r="D9" s="19" t="n">
        <x:v>2000000</x:v>
      </x:c>
      <x:c r="E9" s="20" t="n">
        <x:f>SUM(B9:D9)</x:f>
        <x:v>231600000</x:v>
      </x:c>
    </x:row>
    <x:row r="10">
      <x:c r="A10" s="18" t="n">
        <x:v>45962</x:v>
      </x:c>
      <x:c r="B10" s="19" t="n">
        <x:v>158500000</x:v>
      </x:c>
      <x:c r="C10" s="19" t="n">
        <x:v>74000000</x:v>
      </x:c>
      <x:c r="D10" s="19" t="n">
        <x:v>2000000</x:v>
      </x:c>
      <x:c r="E10" s="20" t="n">
        <x:f>SUM(B10:D10)</x:f>
        <x:v>234500000</x:v>
      </x:c>
    </x:row>
    <x:row r="11">
      <x:c r="A11" s="18" t="n">
        <x:v>45992</x:v>
      </x:c>
      <x:c r="B11" s="19" t="n">
        <x:v>160200000</x:v>
      </x:c>
      <x:c r="C11" s="19" t="n">
        <x:v>75200000</x:v>
      </x:c>
      <x:c r="D11" s="19" t="n">
        <x:v>2000000</x:v>
      </x:c>
      <x:c r="E11" s="20" t="n">
        <x:f>SUM(B11:D11)</x:f>
        <x:v>237400000</x:v>
      </x:c>
    </x:row>
    <x:row r="12">
      <x:c r="A12" s="18" t="n">
        <x:v>46023</x:v>
      </x:c>
      <x:c r="B12" s="19" t="n">
        <x:v>161900000</x:v>
      </x:c>
      <x:c r="C12" s="19" t="n">
        <x:v>76400000</x:v>
      </x:c>
      <x:c r="D12" s="19" t="n">
        <x:v>2000000</x:v>
      </x:c>
      <x:c r="E12" s="20" t="n">
        <x:f>SUM(B12:D12)</x:f>
        <x:v>240300000</x:v>
      </x:c>
    </x:row>
    <x:row r="13">
      <x:c r="A13" s="18" t="n">
        <x:v>46054</x:v>
      </x:c>
      <x:c r="B13" s="19" t="n">
        <x:v>163600000</x:v>
      </x:c>
      <x:c r="C13" s="19" t="n">
        <x:v>77600000</x:v>
      </x:c>
      <x:c r="D13" s="19" t="n">
        <x:v>2000000</x:v>
      </x:c>
      <x:c r="E13" s="20" t="n">
        <x:f>SUM(B13:D13)</x:f>
        <x:v>243200000</x:v>
      </x:c>
    </x:row>
    <x:row r="14">
      <x:c r="A14" s="18" t="n">
        <x:v>46082</x:v>
      </x:c>
      <x:c r="B14" s="19" t="n">
        <x:v>165300000</x:v>
      </x:c>
      <x:c r="C14" s="19" t="n">
        <x:v>78800000</x:v>
      </x:c>
      <x:c r="D14" s="19" t="n">
        <x:v>2000000</x:v>
      </x:c>
      <x:c r="E14" s="20" t="n">
        <x:f>SUM(B14:D14)</x:f>
        <x:v>246100000</x:v>
      </x:c>
    </x:row>
    <x:row r="15">
      <x:c r="A15" s="18" t="n">
        <x:v>46113</x:v>
      </x:c>
      <x:c r="B15" s="19" t="n">
        <x:v>167000000</x:v>
      </x:c>
      <x:c r="C15" s="19" t="n">
        <x:v>80000000</x:v>
      </x:c>
      <x:c r="D15" s="19" t="n">
        <x:v>2000000</x:v>
      </x:c>
      <x:c r="E15" s="20" t="n">
        <x:f>SUM(B15:D15)</x:f>
        <x:v>249000000</x:v>
      </x:c>
    </x:row>
    <x:row r="16">
      <x:c r="A16" s="18" t="n">
        <x:v>46143</x:v>
      </x:c>
      <x:c r="B16" s="19" t="n">
        <x:v>168700000</x:v>
      </x:c>
      <x:c r="C16" s="19" t="n">
        <x:v>81200000</x:v>
      </x:c>
      <x:c r="D16" s="19" t="n">
        <x:v>2000000</x:v>
      </x:c>
      <x:c r="E16" s="20" t="n">
        <x:f>SUM(B16:D16)</x:f>
        <x:v>251900000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2f76e43f50b74e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4" t="str">
        <x:v>인건비 내역 | 원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 ht="30" customHeight="1">
      <x:c r="A4" s="13" t="str">
        <x:v>기준월</x:v>
      </x:c>
      <x:c r="B4" s="13" t="str">
        <x:v>직군</x:v>
      </x:c>
      <x:c r="C4" s="13" t="str">
        <x:v>세전급여</x:v>
      </x:c>
      <x:c r="D4" s="13" t="str">
        <x:v>사용자부담세금보험</x:v>
      </x:c>
      <x:c r="E4" s="13" t="str">
        <x:v>인센티브</x:v>
      </x:c>
      <x:c r="F4" s="13" t="str">
        <x:v>퇴직충당금</x:v>
      </x:c>
    </x:row>
    <x:row r="5">
      <x:c r="A5" s="18" t="n">
        <x:v>45809</x:v>
      </x:c>
      <x:c r="B5" s="15" t="str">
        <x:v>의사</x:v>
      </x:c>
      <x:c r="C5" s="19" t="n">
        <x:v>48000000</x:v>
      </x:c>
      <x:c r="D5" s="19" t="n">
        <x:v>5200000</x:v>
      </x:c>
      <x:c r="E5" s="19" t="n">
        <x:v>4200000</x:v>
      </x:c>
      <x:c r="F5" s="19" t="n">
        <x:v>4000000</x:v>
      </x:c>
    </x:row>
    <x:row r="6">
      <x:c r="A6" s="18" t="n">
        <x:v>45809</x:v>
      </x:c>
      <x:c r="B6" s="15" t="str">
        <x:v>간호/진료지원</x:v>
      </x:c>
      <x:c r="C6" s="19" t="n">
        <x:v>24000000</x:v>
      </x:c>
      <x:c r="D6" s="19" t="n">
        <x:v>2500000</x:v>
      </x:c>
      <x:c r="E6" s="19" t="n">
        <x:v>800000</x:v>
      </x:c>
      <x:c r="F6" s="19" t="n">
        <x:v>2000000</x:v>
      </x:c>
    </x:row>
    <x:row r="7">
      <x:c r="A7" s="18" t="n">
        <x:v>45809</x:v>
      </x:c>
      <x:c r="B7" s="15" t="str">
        <x:v>원무/청구</x:v>
      </x:c>
      <x:c r="C7" s="19" t="n">
        <x:v>12500000</x:v>
      </x:c>
      <x:c r="D7" s="19" t="n">
        <x:v>1300000</x:v>
      </x:c>
      <x:c r="E7" s="19" t="n">
        <x:v>600000</x:v>
      </x:c>
      <x:c r="F7" s="19" t="n">
        <x:v>1050000</x:v>
      </x:c>
    </x:row>
    <x:row r="8">
      <x:c r="A8" s="18" t="n">
        <x:v>45839</x:v>
      </x:c>
      <x:c r="B8" s="15" t="str">
        <x:v>의사</x:v>
      </x:c>
      <x:c r="C8" s="19" t="n">
        <x:v>48100000</x:v>
      </x:c>
      <x:c r="D8" s="19" t="n">
        <x:v>5200000</x:v>
      </x:c>
      <x:c r="E8" s="19" t="n">
        <x:v>4300000</x:v>
      </x:c>
      <x:c r="F8" s="19" t="n">
        <x:v>4000000</x:v>
      </x:c>
    </x:row>
    <x:row r="9">
      <x:c r="A9" s="18" t="n">
        <x:v>45839</x:v>
      </x:c>
      <x:c r="B9" s="15" t="str">
        <x:v>간호/진료지원</x:v>
      </x:c>
      <x:c r="C9" s="19" t="n">
        <x:v>24100000</x:v>
      </x:c>
      <x:c r="D9" s="19" t="n">
        <x:v>2500000</x:v>
      </x:c>
      <x:c r="E9" s="19" t="n">
        <x:v>900000</x:v>
      </x:c>
      <x:c r="F9" s="19" t="n">
        <x:v>2000000</x:v>
      </x:c>
    </x:row>
    <x:row r="10">
      <x:c r="A10" s="18" t="n">
        <x:v>45839</x:v>
      </x:c>
      <x:c r="B10" s="15" t="str">
        <x:v>원무/청구</x:v>
      </x:c>
      <x:c r="C10" s="19" t="n">
        <x:v>12600000</x:v>
      </x:c>
      <x:c r="D10" s="19" t="n">
        <x:v>1300000</x:v>
      </x:c>
      <x:c r="E10" s="19" t="n">
        <x:v>700000</x:v>
      </x:c>
      <x:c r="F10" s="19" t="n">
        <x:v>1050000</x:v>
      </x:c>
    </x:row>
    <x:row r="11">
      <x:c r="A11" s="18" t="n">
        <x:v>45870</x:v>
      </x:c>
      <x:c r="B11" s="15" t="str">
        <x:v>의사</x:v>
      </x:c>
      <x:c r="C11" s="19" t="n">
        <x:v>48200000</x:v>
      </x:c>
      <x:c r="D11" s="19" t="n">
        <x:v>5200000</x:v>
      </x:c>
      <x:c r="E11" s="19" t="n">
        <x:v>4400000</x:v>
      </x:c>
      <x:c r="F11" s="19" t="n">
        <x:v>4000000</x:v>
      </x:c>
    </x:row>
    <x:row r="12">
      <x:c r="A12" s="18" t="n">
        <x:v>45870</x:v>
      </x:c>
      <x:c r="B12" s="15" t="str">
        <x:v>간호/진료지원</x:v>
      </x:c>
      <x:c r="C12" s="19" t="n">
        <x:v>24200000</x:v>
      </x:c>
      <x:c r="D12" s="19" t="n">
        <x:v>2500000</x:v>
      </x:c>
      <x:c r="E12" s="19" t="n">
        <x:v>1000000</x:v>
      </x:c>
      <x:c r="F12" s="19" t="n">
        <x:v>2000000</x:v>
      </x:c>
    </x:row>
    <x:row r="13">
      <x:c r="A13" s="18" t="n">
        <x:v>45870</x:v>
      </x:c>
      <x:c r="B13" s="15" t="str">
        <x:v>원무/청구</x:v>
      </x:c>
      <x:c r="C13" s="19" t="n">
        <x:v>12700000</x:v>
      </x:c>
      <x:c r="D13" s="19" t="n">
        <x:v>1300000</x:v>
      </x:c>
      <x:c r="E13" s="19" t="n">
        <x:v>800000</x:v>
      </x:c>
      <x:c r="F13" s="19" t="n">
        <x:v>1050000</x:v>
      </x:c>
    </x:row>
    <x:row r="14">
      <x:c r="A14" s="18" t="n">
        <x:v>45901</x:v>
      </x:c>
      <x:c r="B14" s="15" t="str">
        <x:v>의사</x:v>
      </x:c>
      <x:c r="C14" s="19" t="n">
        <x:v>48300000</x:v>
      </x:c>
      <x:c r="D14" s="19" t="n">
        <x:v>5200000</x:v>
      </x:c>
      <x:c r="E14" s="19" t="n">
        <x:v>4200000</x:v>
      </x:c>
      <x:c r="F14" s="19" t="n">
        <x:v>4000000</x:v>
      </x:c>
    </x:row>
    <x:row r="15">
      <x:c r="A15" s="18" t="n">
        <x:v>45901</x:v>
      </x:c>
      <x:c r="B15" s="15" t="str">
        <x:v>간호/진료지원</x:v>
      </x:c>
      <x:c r="C15" s="19" t="n">
        <x:v>24300000</x:v>
      </x:c>
      <x:c r="D15" s="19" t="n">
        <x:v>2500000</x:v>
      </x:c>
      <x:c r="E15" s="19" t="n">
        <x:v>800000</x:v>
      </x:c>
      <x:c r="F15" s="19" t="n">
        <x:v>2000000</x:v>
      </x:c>
    </x:row>
    <x:row r="16">
      <x:c r="A16" s="18" t="n">
        <x:v>45901</x:v>
      </x:c>
      <x:c r="B16" s="15" t="str">
        <x:v>원무/청구</x:v>
      </x:c>
      <x:c r="C16" s="19" t="n">
        <x:v>12800000</x:v>
      </x:c>
      <x:c r="D16" s="19" t="n">
        <x:v>1300000</x:v>
      </x:c>
      <x:c r="E16" s="19" t="n">
        <x:v>600000</x:v>
      </x:c>
      <x:c r="F16" s="19" t="n">
        <x:v>1050000</x:v>
      </x:c>
    </x:row>
    <x:row r="17">
      <x:c r="A17" s="18" t="n">
        <x:v>45931</x:v>
      </x:c>
      <x:c r="B17" s="15" t="str">
        <x:v>의사</x:v>
      </x:c>
      <x:c r="C17" s="19" t="n">
        <x:v>48400000</x:v>
      </x:c>
      <x:c r="D17" s="19" t="n">
        <x:v>5200000</x:v>
      </x:c>
      <x:c r="E17" s="19" t="n">
        <x:v>4300000</x:v>
      </x:c>
      <x:c r="F17" s="19" t="n">
        <x:v>4000000</x:v>
      </x:c>
    </x:row>
    <x:row r="18">
      <x:c r="A18" s="18" t="n">
        <x:v>45931</x:v>
      </x:c>
      <x:c r="B18" s="15" t="str">
        <x:v>간호/진료지원</x:v>
      </x:c>
      <x:c r="C18" s="19" t="n">
        <x:v>24400000</x:v>
      </x:c>
      <x:c r="D18" s="19" t="n">
        <x:v>2500000</x:v>
      </x:c>
      <x:c r="E18" s="19" t="n">
        <x:v>900000</x:v>
      </x:c>
      <x:c r="F18" s="19" t="n">
        <x:v>2000000</x:v>
      </x:c>
    </x:row>
    <x:row r="19">
      <x:c r="A19" s="18" t="n">
        <x:v>45931</x:v>
      </x:c>
      <x:c r="B19" s="15" t="str">
        <x:v>원무/청구</x:v>
      </x:c>
      <x:c r="C19" s="19" t="n">
        <x:v>12900000</x:v>
      </x:c>
      <x:c r="D19" s="19" t="n">
        <x:v>1300000</x:v>
      </x:c>
      <x:c r="E19" s="19" t="n">
        <x:v>700000</x:v>
      </x:c>
      <x:c r="F19" s="19" t="n">
        <x:v>1050000</x:v>
      </x:c>
    </x:row>
    <x:row r="20">
      <x:c r="A20" s="18" t="n">
        <x:v>45962</x:v>
      </x:c>
      <x:c r="B20" s="15" t="str">
        <x:v>의사</x:v>
      </x:c>
      <x:c r="C20" s="19" t="n">
        <x:v>48500000</x:v>
      </x:c>
      <x:c r="D20" s="19" t="n">
        <x:v>5200000</x:v>
      </x:c>
      <x:c r="E20" s="19" t="n">
        <x:v>4400000</x:v>
      </x:c>
      <x:c r="F20" s="19" t="n">
        <x:v>4000000</x:v>
      </x:c>
    </x:row>
    <x:row r="21">
      <x:c r="A21" s="18" t="n">
        <x:v>45962</x:v>
      </x:c>
      <x:c r="B21" s="15" t="str">
        <x:v>간호/진료지원</x:v>
      </x:c>
      <x:c r="C21" s="19" t="n">
        <x:v>24500000</x:v>
      </x:c>
      <x:c r="D21" s="19" t="n">
        <x:v>2500000</x:v>
      </x:c>
      <x:c r="E21" s="19" t="n">
        <x:v>1000000</x:v>
      </x:c>
      <x:c r="F21" s="19" t="n">
        <x:v>2000000</x:v>
      </x:c>
    </x:row>
    <x:row r="22">
      <x:c r="A22" s="18" t="n">
        <x:v>45962</x:v>
      </x:c>
      <x:c r="B22" s="15" t="str">
        <x:v>원무/청구</x:v>
      </x:c>
      <x:c r="C22" s="19" t="n">
        <x:v>13000000</x:v>
      </x:c>
      <x:c r="D22" s="19" t="n">
        <x:v>1300000</x:v>
      </x:c>
      <x:c r="E22" s="19" t="n">
        <x:v>800000</x:v>
      </x:c>
      <x:c r="F22" s="19" t="n">
        <x:v>1050000</x:v>
      </x:c>
    </x:row>
    <x:row r="23">
      <x:c r="A23" s="18" t="n">
        <x:v>45992</x:v>
      </x:c>
      <x:c r="B23" s="15" t="str">
        <x:v>의사</x:v>
      </x:c>
      <x:c r="C23" s="19" t="n">
        <x:v>48600000</x:v>
      </x:c>
      <x:c r="D23" s="19" t="n">
        <x:v>5200000</x:v>
      </x:c>
      <x:c r="E23" s="19" t="n">
        <x:v>4200000</x:v>
      </x:c>
      <x:c r="F23" s="19" t="n">
        <x:v>4000000</x:v>
      </x:c>
    </x:row>
    <x:row r="24">
      <x:c r="A24" s="18" t="n">
        <x:v>45992</x:v>
      </x:c>
      <x:c r="B24" s="15" t="str">
        <x:v>간호/진료지원</x:v>
      </x:c>
      <x:c r="C24" s="19" t="n">
        <x:v>24600000</x:v>
      </x:c>
      <x:c r="D24" s="19" t="n">
        <x:v>2500000</x:v>
      </x:c>
      <x:c r="E24" s="19" t="n">
        <x:v>800000</x:v>
      </x:c>
      <x:c r="F24" s="19" t="n">
        <x:v>2000000</x:v>
      </x:c>
    </x:row>
    <x:row r="25">
      <x:c r="A25" s="18" t="n">
        <x:v>45992</x:v>
      </x:c>
      <x:c r="B25" s="15" t="str">
        <x:v>원무/청구</x:v>
      </x:c>
      <x:c r="C25" s="19" t="n">
        <x:v>13100000</x:v>
      </x:c>
      <x:c r="D25" s="19" t="n">
        <x:v>1300000</x:v>
      </x:c>
      <x:c r="E25" s="19" t="n">
        <x:v>600000</x:v>
      </x:c>
      <x:c r="F25" s="19" t="n">
        <x:v>1050000</x:v>
      </x:c>
    </x:row>
    <x:row r="26">
      <x:c r="A26" s="18" t="n">
        <x:v>46023</x:v>
      </x:c>
      <x:c r="B26" s="15" t="str">
        <x:v>의사</x:v>
      </x:c>
      <x:c r="C26" s="19" t="n">
        <x:v>48700000</x:v>
      </x:c>
      <x:c r="D26" s="19" t="n">
        <x:v>5200000</x:v>
      </x:c>
      <x:c r="E26" s="19" t="n">
        <x:v>4300000</x:v>
      </x:c>
      <x:c r="F26" s="19" t="n">
        <x:v>4000000</x:v>
      </x:c>
    </x:row>
    <x:row r="27">
      <x:c r="A27" s="18" t="n">
        <x:v>46023</x:v>
      </x:c>
      <x:c r="B27" s="15" t="str">
        <x:v>간호/진료지원</x:v>
      </x:c>
      <x:c r="C27" s="19" t="n">
        <x:v>24700000</x:v>
      </x:c>
      <x:c r="D27" s="19" t="n">
        <x:v>2500000</x:v>
      </x:c>
      <x:c r="E27" s="19" t="n">
        <x:v>900000</x:v>
      </x:c>
      <x:c r="F27" s="19" t="n">
        <x:v>2000000</x:v>
      </x:c>
    </x:row>
    <x:row r="28">
      <x:c r="A28" s="18" t="n">
        <x:v>46023</x:v>
      </x:c>
      <x:c r="B28" s="15" t="str">
        <x:v>원무/청구</x:v>
      </x:c>
      <x:c r="C28" s="19" t="n">
        <x:v>13200000</x:v>
      </x:c>
      <x:c r="D28" s="19" t="n">
        <x:v>1300000</x:v>
      </x:c>
      <x:c r="E28" s="19" t="n">
        <x:v>700000</x:v>
      </x:c>
      <x:c r="F28" s="19" t="n">
        <x:v>1050000</x:v>
      </x:c>
    </x:row>
    <x:row r="29">
      <x:c r="A29" s="18" t="n">
        <x:v>46054</x:v>
      </x:c>
      <x:c r="B29" s="15" t="str">
        <x:v>의사</x:v>
      </x:c>
      <x:c r="C29" s="19" t="n">
        <x:v>48800000</x:v>
      </x:c>
      <x:c r="D29" s="19" t="n">
        <x:v>5200000</x:v>
      </x:c>
      <x:c r="E29" s="19" t="n">
        <x:v>4400000</x:v>
      </x:c>
      <x:c r="F29" s="19" t="n">
        <x:v>4000000</x:v>
      </x:c>
    </x:row>
    <x:row r="30">
      <x:c r="A30" s="18" t="n">
        <x:v>46054</x:v>
      </x:c>
      <x:c r="B30" s="15" t="str">
        <x:v>간호/진료지원</x:v>
      </x:c>
      <x:c r="C30" s="19" t="n">
        <x:v>24800000</x:v>
      </x:c>
      <x:c r="D30" s="19" t="n">
        <x:v>2500000</x:v>
      </x:c>
      <x:c r="E30" s="19" t="n">
        <x:v>1000000</x:v>
      </x:c>
      <x:c r="F30" s="19" t="n">
        <x:v>2000000</x:v>
      </x:c>
    </x:row>
    <x:row r="31">
      <x:c r="A31" s="18" t="n">
        <x:v>46054</x:v>
      </x:c>
      <x:c r="B31" s="15" t="str">
        <x:v>원무/청구</x:v>
      </x:c>
      <x:c r="C31" s="19" t="n">
        <x:v>13300000</x:v>
      </x:c>
      <x:c r="D31" s="19" t="n">
        <x:v>1300000</x:v>
      </x:c>
      <x:c r="E31" s="19" t="n">
        <x:v>800000</x:v>
      </x:c>
      <x:c r="F31" s="19" t="n">
        <x:v>1050000</x:v>
      </x:c>
    </x:row>
    <x:row r="32">
      <x:c r="A32" s="18" t="n">
        <x:v>46082</x:v>
      </x:c>
      <x:c r="B32" s="15" t="str">
        <x:v>의사</x:v>
      </x:c>
      <x:c r="C32" s="19" t="n">
        <x:v>48900000</x:v>
      </x:c>
      <x:c r="D32" s="19" t="n">
        <x:v>5200000</x:v>
      </x:c>
      <x:c r="E32" s="19" t="n">
        <x:v>4200000</x:v>
      </x:c>
      <x:c r="F32" s="19" t="n">
        <x:v>4000000</x:v>
      </x:c>
    </x:row>
    <x:row r="33">
      <x:c r="A33" s="18" t="n">
        <x:v>46082</x:v>
      </x:c>
      <x:c r="B33" s="15" t="str">
        <x:v>간호/진료지원</x:v>
      </x:c>
      <x:c r="C33" s="19" t="n">
        <x:v>24900000</x:v>
      </x:c>
      <x:c r="D33" s="19" t="n">
        <x:v>2500000</x:v>
      </x:c>
      <x:c r="E33" s="19" t="n">
        <x:v>800000</x:v>
      </x:c>
      <x:c r="F33" s="19" t="n">
        <x:v>2000000</x:v>
      </x:c>
    </x:row>
    <x:row r="34">
      <x:c r="A34" s="18" t="n">
        <x:v>46082</x:v>
      </x:c>
      <x:c r="B34" s="15" t="str">
        <x:v>원무/청구</x:v>
      </x:c>
      <x:c r="C34" s="19" t="n">
        <x:v>13400000</x:v>
      </x:c>
      <x:c r="D34" s="19" t="n">
        <x:v>1300000</x:v>
      </x:c>
      <x:c r="E34" s="19" t="n">
        <x:v>600000</x:v>
      </x:c>
      <x:c r="F34" s="19" t="n">
        <x:v>1050000</x:v>
      </x:c>
    </x:row>
    <x:row r="35">
      <x:c r="A35" s="18" t="n">
        <x:v>46113</x:v>
      </x:c>
      <x:c r="B35" s="15" t="str">
        <x:v>의사</x:v>
      </x:c>
      <x:c r="C35" s="19" t="n">
        <x:v>49000000</x:v>
      </x:c>
      <x:c r="D35" s="19" t="n">
        <x:v>5200000</x:v>
      </x:c>
      <x:c r="E35" s="19" t="n">
        <x:v>4300000</x:v>
      </x:c>
      <x:c r="F35" s="19" t="n">
        <x:v>4000000</x:v>
      </x:c>
    </x:row>
    <x:row r="36">
      <x:c r="A36" s="18" t="n">
        <x:v>46113</x:v>
      </x:c>
      <x:c r="B36" s="15" t="str">
        <x:v>간호/진료지원</x:v>
      </x:c>
      <x:c r="C36" s="19" t="n">
        <x:v>25000000</x:v>
      </x:c>
      <x:c r="D36" s="19" t="n">
        <x:v>2500000</x:v>
      </x:c>
      <x:c r="E36" s="19" t="n">
        <x:v>900000</x:v>
      </x:c>
      <x:c r="F36" s="19" t="n">
        <x:v>2000000</x:v>
      </x:c>
    </x:row>
    <x:row r="37">
      <x:c r="A37" s="18" t="n">
        <x:v>46113</x:v>
      </x:c>
      <x:c r="B37" s="15" t="str">
        <x:v>원무/청구</x:v>
      </x:c>
      <x:c r="C37" s="19" t="n">
        <x:v>13500000</x:v>
      </x:c>
      <x:c r="D37" s="19" t="n">
        <x:v>1300000</x:v>
      </x:c>
      <x:c r="E37" s="19" t="n">
        <x:v>700000</x:v>
      </x:c>
      <x:c r="F37" s="19" t="n">
        <x:v>1050000</x:v>
      </x:c>
    </x:row>
    <x:row r="38">
      <x:c r="A38" s="18" t="n">
        <x:v>46143</x:v>
      </x:c>
      <x:c r="B38" s="15" t="str">
        <x:v>의사</x:v>
      </x:c>
      <x:c r="C38" s="19" t="n">
        <x:v>49100000</x:v>
      </x:c>
      <x:c r="D38" s="19" t="n">
        <x:v>5200000</x:v>
      </x:c>
      <x:c r="E38" s="19" t="n">
        <x:v>4400000</x:v>
      </x:c>
      <x:c r="F38" s="19" t="n">
        <x:v>4000000</x:v>
      </x:c>
    </x:row>
    <x:row r="39">
      <x:c r="A39" s="18" t="n">
        <x:v>46143</x:v>
      </x:c>
      <x:c r="B39" s="15" t="str">
        <x:v>간호/진료지원</x:v>
      </x:c>
      <x:c r="C39" s="19" t="n">
        <x:v>25100000</x:v>
      </x:c>
      <x:c r="D39" s="19" t="n">
        <x:v>2500000</x:v>
      </x:c>
      <x:c r="E39" s="19" t="n">
        <x:v>1000000</x:v>
      </x:c>
      <x:c r="F39" s="19" t="n">
        <x:v>2000000</x:v>
      </x:c>
    </x:row>
    <x:row r="40">
      <x:c r="A40" s="18" t="n">
        <x:v>46143</x:v>
      </x:c>
      <x:c r="B40" s="15" t="str">
        <x:v>원무/청구</x:v>
      </x:c>
      <x:c r="C40" s="19" t="n">
        <x:v>13600000</x:v>
      </x:c>
      <x:c r="D40" s="19" t="n">
        <x:v>1300000</x:v>
      </x:c>
      <x:c r="E40" s="19" t="n">
        <x:v>800000</x:v>
      </x:c>
      <x:c r="F40" s="19" t="n">
        <x:v>1050000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b2518a37f5034b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4" customHeight="1">
      <x:c r="A1" s="4" t="str">
        <x:v>고정비 내역 | 원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4" ht="30" customHeight="1">
      <x:c r="A4" s="13" t="str">
        <x:v>기준월</x:v>
      </x:c>
      <x:c r="B4" s="13" t="str">
        <x:v>장비렌탈</x:v>
      </x:c>
      <x:c r="C4" s="13" t="str">
        <x:v>유지보수</x:v>
      </x:c>
      <x:c r="D4" s="13" t="str">
        <x:v>임차료</x:v>
      </x:c>
      <x:c r="E4" s="13" t="str">
        <x:v>전기료</x:v>
      </x:c>
      <x:c r="F4" s="13" t="str">
        <x:v>수도료</x:v>
      </x:c>
      <x:c r="G4" s="13" t="str">
        <x:v>통신비</x:v>
      </x:c>
      <x:c r="H4" s="13" t="str">
        <x:v>부채이자</x:v>
      </x:c>
      <x:c r="I4" s="13" t="str">
        <x:v>보험료</x:v>
      </x:c>
      <x:c r="J4" s="13" t="str">
        <x:v>전산서비스</x:v>
      </x:c>
      <x:c r="K4" s="13" t="str">
        <x:v>기타</x:v>
      </x:c>
    </x:row>
    <x:row r="5">
      <x:c r="A5" s="18" t="n">
        <x:v>45809</x:v>
      </x:c>
      <x:c r="B5" s="19" t="n">
        <x:v>6200000</x:v>
      </x:c>
      <x:c r="C5" s="19" t="n">
        <x:v>1700000</x:v>
      </x:c>
      <x:c r="D5" s="19" t="n">
        <x:v>14000000</x:v>
      </x:c>
      <x:c r="E5" s="19" t="n">
        <x:v>1200000</x:v>
      </x:c>
      <x:c r="F5" s="19" t="n">
        <x:v>250000</x:v>
      </x:c>
      <x:c r="G5" s="19" t="n">
        <x:v>430000</x:v>
      </x:c>
      <x:c r="H5" s="19" t="n">
        <x:v>2100000</x:v>
      </x:c>
      <x:c r="I5" s="19" t="n">
        <x:v>700000</x:v>
      </x:c>
      <x:c r="J5" s="19" t="n">
        <x:v>650000</x:v>
      </x:c>
      <x:c r="K5" s="19" t="n">
        <x:v>600000</x:v>
      </x:c>
    </x:row>
    <x:row r="6">
      <x:c r="A6" s="18" t="n">
        <x:v>45839</x:v>
      </x:c>
      <x:c r="B6" s="19" t="n">
        <x:v>6200000</x:v>
      </x:c>
      <x:c r="C6" s="19" t="n">
        <x:v>1700000</x:v>
      </x:c>
      <x:c r="D6" s="19" t="n">
        <x:v>14000000</x:v>
      </x:c>
      <x:c r="E6" s="19" t="n">
        <x:v>1230000</x:v>
      </x:c>
      <x:c r="F6" s="19" t="n">
        <x:v>250000</x:v>
      </x:c>
      <x:c r="G6" s="19" t="n">
        <x:v>430000</x:v>
      </x:c>
      <x:c r="H6" s="19" t="n">
        <x:v>2100000</x:v>
      </x:c>
      <x:c r="I6" s="19" t="n">
        <x:v>700000</x:v>
      </x:c>
      <x:c r="J6" s="19" t="n">
        <x:v>650000</x:v>
      </x:c>
      <x:c r="K6" s="19" t="n">
        <x:v>600000</x:v>
      </x:c>
    </x:row>
    <x:row r="7">
      <x:c r="A7" s="18" t="n">
        <x:v>45870</x:v>
      </x:c>
      <x:c r="B7" s="19" t="n">
        <x:v>6200000</x:v>
      </x:c>
      <x:c r="C7" s="19" t="n">
        <x:v>1700000</x:v>
      </x:c>
      <x:c r="D7" s="19" t="n">
        <x:v>14000000</x:v>
      </x:c>
      <x:c r="E7" s="19" t="n">
        <x:v>1260000</x:v>
      </x:c>
      <x:c r="F7" s="19" t="n">
        <x:v>250000</x:v>
      </x:c>
      <x:c r="G7" s="19" t="n">
        <x:v>430000</x:v>
      </x:c>
      <x:c r="H7" s="19" t="n">
        <x:v>2100000</x:v>
      </x:c>
      <x:c r="I7" s="19" t="n">
        <x:v>700000</x:v>
      </x:c>
      <x:c r="J7" s="19" t="n">
        <x:v>650000</x:v>
      </x:c>
      <x:c r="K7" s="19" t="n">
        <x:v>600000</x:v>
      </x:c>
    </x:row>
    <x:row r="8">
      <x:c r="A8" s="18" t="n">
        <x:v>45901</x:v>
      </x:c>
      <x:c r="B8" s="19" t="n">
        <x:v>6200000</x:v>
      </x:c>
      <x:c r="C8" s="19" t="n">
        <x:v>1700000</x:v>
      </x:c>
      <x:c r="D8" s="19" t="n">
        <x:v>14000000</x:v>
      </x:c>
      <x:c r="E8" s="19" t="n">
        <x:v>1290000</x:v>
      </x:c>
      <x:c r="F8" s="19" t="n">
        <x:v>250000</x:v>
      </x:c>
      <x:c r="G8" s="19" t="n">
        <x:v>430000</x:v>
      </x:c>
      <x:c r="H8" s="19" t="n">
        <x:v>2100000</x:v>
      </x:c>
      <x:c r="I8" s="19" t="n">
        <x:v>700000</x:v>
      </x:c>
      <x:c r="J8" s="19" t="n">
        <x:v>650000</x:v>
      </x:c>
      <x:c r="K8" s="19" t="n">
        <x:v>600000</x:v>
      </x:c>
    </x:row>
    <x:row r="9">
      <x:c r="A9" s="18" t="n">
        <x:v>45931</x:v>
      </x:c>
      <x:c r="B9" s="19" t="n">
        <x:v>6200000</x:v>
      </x:c>
      <x:c r="C9" s="19" t="n">
        <x:v>1700000</x:v>
      </x:c>
      <x:c r="D9" s="19" t="n">
        <x:v>14000000</x:v>
      </x:c>
      <x:c r="E9" s="19" t="n">
        <x:v>1320000</x:v>
      </x:c>
      <x:c r="F9" s="19" t="n">
        <x:v>250000</x:v>
      </x:c>
      <x:c r="G9" s="19" t="n">
        <x:v>430000</x:v>
      </x:c>
      <x:c r="H9" s="19" t="n">
        <x:v>2100000</x:v>
      </x:c>
      <x:c r="I9" s="19" t="n">
        <x:v>700000</x:v>
      </x:c>
      <x:c r="J9" s="19" t="n">
        <x:v>650000</x:v>
      </x:c>
      <x:c r="K9" s="19" t="n">
        <x:v>600000</x:v>
      </x:c>
    </x:row>
    <x:row r="10">
      <x:c r="A10" s="18" t="n">
        <x:v>45962</x:v>
      </x:c>
      <x:c r="B10" s="19" t="n">
        <x:v>6200000</x:v>
      </x:c>
      <x:c r="C10" s="19" t="n">
        <x:v>1700000</x:v>
      </x:c>
      <x:c r="D10" s="19" t="n">
        <x:v>14000000</x:v>
      </x:c>
      <x:c r="E10" s="19" t="n">
        <x:v>1350000</x:v>
      </x:c>
      <x:c r="F10" s="19" t="n">
        <x:v>250000</x:v>
      </x:c>
      <x:c r="G10" s="19" t="n">
        <x:v>430000</x:v>
      </x:c>
      <x:c r="H10" s="19" t="n">
        <x:v>2100000</x:v>
      </x:c>
      <x:c r="I10" s="19" t="n">
        <x:v>700000</x:v>
      </x:c>
      <x:c r="J10" s="19" t="n">
        <x:v>650000</x:v>
      </x:c>
      <x:c r="K10" s="19" t="n">
        <x:v>600000</x:v>
      </x:c>
    </x:row>
    <x:row r="11">
      <x:c r="A11" s="18" t="n">
        <x:v>45992</x:v>
      </x:c>
      <x:c r="B11" s="19" t="n">
        <x:v>6200000</x:v>
      </x:c>
      <x:c r="C11" s="19" t="n">
        <x:v>1700000</x:v>
      </x:c>
      <x:c r="D11" s="19" t="n">
        <x:v>14000000</x:v>
      </x:c>
      <x:c r="E11" s="19" t="n">
        <x:v>1380000</x:v>
      </x:c>
      <x:c r="F11" s="19" t="n">
        <x:v>250000</x:v>
      </x:c>
      <x:c r="G11" s="19" t="n">
        <x:v>430000</x:v>
      </x:c>
      <x:c r="H11" s="19" t="n">
        <x:v>2100000</x:v>
      </x:c>
      <x:c r="I11" s="19" t="n">
        <x:v>700000</x:v>
      </x:c>
      <x:c r="J11" s="19" t="n">
        <x:v>650000</x:v>
      </x:c>
      <x:c r="K11" s="19" t="n">
        <x:v>600000</x:v>
      </x:c>
    </x:row>
    <x:row r="12">
      <x:c r="A12" s="18" t="n">
        <x:v>46023</x:v>
      </x:c>
      <x:c r="B12" s="19" t="n">
        <x:v>6200000</x:v>
      </x:c>
      <x:c r="C12" s="19" t="n">
        <x:v>1700000</x:v>
      </x:c>
      <x:c r="D12" s="19" t="n">
        <x:v>14000000</x:v>
      </x:c>
      <x:c r="E12" s="19" t="n">
        <x:v>1410000</x:v>
      </x:c>
      <x:c r="F12" s="19" t="n">
        <x:v>250000</x:v>
      </x:c>
      <x:c r="G12" s="19" t="n">
        <x:v>430000</x:v>
      </x:c>
      <x:c r="H12" s="19" t="n">
        <x:v>2100000</x:v>
      </x:c>
      <x:c r="I12" s="19" t="n">
        <x:v>700000</x:v>
      </x:c>
      <x:c r="J12" s="19" t="n">
        <x:v>650000</x:v>
      </x:c>
      <x:c r="K12" s="19" t="n">
        <x:v>600000</x:v>
      </x:c>
    </x:row>
    <x:row r="13">
      <x:c r="A13" s="18" t="n">
        <x:v>46054</x:v>
      </x:c>
      <x:c r="B13" s="19" t="n">
        <x:v>6200000</x:v>
      </x:c>
      <x:c r="C13" s="19" t="n">
        <x:v>1700000</x:v>
      </x:c>
      <x:c r="D13" s="19" t="n">
        <x:v>14000000</x:v>
      </x:c>
      <x:c r="E13" s="19" t="n">
        <x:v>1440000</x:v>
      </x:c>
      <x:c r="F13" s="19" t="n">
        <x:v>250000</x:v>
      </x:c>
      <x:c r="G13" s="19" t="n">
        <x:v>430000</x:v>
      </x:c>
      <x:c r="H13" s="19" t="n">
        <x:v>2100000</x:v>
      </x:c>
      <x:c r="I13" s="19" t="n">
        <x:v>700000</x:v>
      </x:c>
      <x:c r="J13" s="19" t="n">
        <x:v>650000</x:v>
      </x:c>
      <x:c r="K13" s="19" t="n">
        <x:v>600000</x:v>
      </x:c>
    </x:row>
    <x:row r="14">
      <x:c r="A14" s="18" t="n">
        <x:v>46082</x:v>
      </x:c>
      <x:c r="B14" s="19" t="n">
        <x:v>6200000</x:v>
      </x:c>
      <x:c r="C14" s="19" t="n">
        <x:v>1700000</x:v>
      </x:c>
      <x:c r="D14" s="19" t="n">
        <x:v>14000000</x:v>
      </x:c>
      <x:c r="E14" s="19" t="n">
        <x:v>1470000</x:v>
      </x:c>
      <x:c r="F14" s="19" t="n">
        <x:v>250000</x:v>
      </x:c>
      <x:c r="G14" s="19" t="n">
        <x:v>430000</x:v>
      </x:c>
      <x:c r="H14" s="19" t="n">
        <x:v>2100000</x:v>
      </x:c>
      <x:c r="I14" s="19" t="n">
        <x:v>700000</x:v>
      </x:c>
      <x:c r="J14" s="19" t="n">
        <x:v>650000</x:v>
      </x:c>
      <x:c r="K14" s="19" t="n">
        <x:v>600000</x:v>
      </x:c>
    </x:row>
    <x:row r="15">
      <x:c r="A15" s="18" t="n">
        <x:v>46113</x:v>
      </x:c>
      <x:c r="B15" s="19" t="n">
        <x:v>6200000</x:v>
      </x:c>
      <x:c r="C15" s="19" t="n">
        <x:v>1700000</x:v>
      </x:c>
      <x:c r="D15" s="19" t="n">
        <x:v>14000000</x:v>
      </x:c>
      <x:c r="E15" s="19" t="n">
        <x:v>1500000</x:v>
      </x:c>
      <x:c r="F15" s="19" t="n">
        <x:v>250000</x:v>
      </x:c>
      <x:c r="G15" s="19" t="n">
        <x:v>430000</x:v>
      </x:c>
      <x:c r="H15" s="19" t="n">
        <x:v>2100000</x:v>
      </x:c>
      <x:c r="I15" s="19" t="n">
        <x:v>700000</x:v>
      </x:c>
      <x:c r="J15" s="19" t="n">
        <x:v>650000</x:v>
      </x:c>
      <x:c r="K15" s="19" t="n">
        <x:v>600000</x:v>
      </x:c>
    </x:row>
    <x:row r="16">
      <x:c r="A16" s="18" t="n">
        <x:v>46143</x:v>
      </x:c>
      <x:c r="B16" s="19" t="n">
        <x:v>6200000</x:v>
      </x:c>
      <x:c r="C16" s="19" t="n">
        <x:v>1700000</x:v>
      </x:c>
      <x:c r="D16" s="19" t="n">
        <x:v>14000000</x:v>
      </x:c>
      <x:c r="E16" s="19" t="n">
        <x:v>1530000</x:v>
      </x:c>
      <x:c r="F16" s="19" t="n">
        <x:v>250000</x:v>
      </x:c>
      <x:c r="G16" s="19" t="n">
        <x:v>430000</x:v>
      </x:c>
      <x:c r="H16" s="19" t="n">
        <x:v>2100000</x:v>
      </x:c>
      <x:c r="I16" s="19" t="n">
        <x:v>700000</x:v>
      </x:c>
      <x:c r="J16" s="19" t="n">
        <x:v>650000</x:v>
      </x:c>
      <x:c r="K16" s="19" t="n">
        <x:v>600000</x:v>
      </x:c>
    </x:row>
  </x:sheetData>
  <x:mergeCells>
    <x:mergeCell ref="A1:M2"/>
  </x:mergeCells>
  <x:pageMargins left="0.7" right="0.7" top="0.75" bottom="0.75" header="0.3" footer="0.3"/>
  <x:tableParts count="1">
    <x:tablePart xmlns:r="http://schemas.openxmlformats.org/officeDocument/2006/relationships" r:id="R9b768b5d8dec4e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7" hidden="0" customWidth="1"/>
    <x:col min="4" max="4" width="19" hidden="0" customWidth="1"/>
  </x:cols>
  <x:sheetData>
    <x:row r="1" ht="34" customHeight="1">
      <x:c r="A1" s="4" t="str">
        <x:v>장비 / 의료소모품 / 약제 구매비 | 원</x:v>
      </x:c>
      <x:c r="B1" s="4"/>
      <x:c r="C1" s="4"/>
      <x:c r="D1" s="4"/>
      <x:c r="E1" s="4"/>
      <x:c r="F1" s="4"/>
    </x:row>
    <x:row r="2" ht="34" customHeight="1">
      <x:c r="A2" s="4"/>
      <x:c r="B2" s="4"/>
      <x:c r="C2" s="4"/>
      <x:c r="D2" s="4"/>
      <x:c r="E2" s="4"/>
      <x:c r="F2" s="4"/>
    </x:row>
    <x:row r="4" ht="30" customHeight="1">
      <x:c r="A4" s="13" t="str">
        <x:v>기준월</x:v>
      </x:c>
      <x:c r="B4" s="13" t="str">
        <x:v>구분</x:v>
      </x:c>
      <x:c r="C4" s="13" t="str">
        <x:v>품목군</x:v>
      </x:c>
      <x:c r="D4" s="13" t="str">
        <x:v>구매액</x:v>
      </x:c>
    </x:row>
    <x:row r="5">
      <x:c r="A5" s="18" t="n">
        <x:v>45809</x:v>
      </x:c>
      <x:c r="B5" s="15" t="str">
        <x:v>의료소모품</x:v>
      </x:c>
      <x:c r="C5" s="15" t="str">
        <x:v>시술/처치 소모품</x:v>
      </x:c>
      <x:c r="D5" s="19" t="n">
        <x:v>11900000</x:v>
      </x:c>
    </x:row>
    <x:row r="6">
      <x:c r="A6" s="18" t="n">
        <x:v>45809</x:v>
      </x:c>
      <x:c r="B6" s="15" t="str">
        <x:v>약제</x:v>
      </x:c>
      <x:c r="C6" s="15" t="str">
        <x:v>원내사용 약제</x:v>
      </x:c>
      <x:c r="D6" s="19" t="n">
        <x:v>7600000</x:v>
      </x:c>
    </x:row>
    <x:row r="7">
      <x:c r="A7" s="18" t="n">
        <x:v>45809</x:v>
      </x:c>
      <x:c r="B7" s="15" t="str">
        <x:v>장비</x:v>
      </x:c>
      <x:c r="C7" s="15" t="str">
        <x:v>소형기기 및 교체품</x:v>
      </x:c>
      <x:c r="D7" s="19" t="n">
        <x:v>2800000</x:v>
      </x:c>
    </x:row>
    <x:row r="8">
      <x:c r="A8" s="18" t="n">
        <x:v>45839</x:v>
      </x:c>
      <x:c r="B8" s="15" t="str">
        <x:v>의료소모품</x:v>
      </x:c>
      <x:c r="C8" s="15" t="str">
        <x:v>시술/처치 소모품</x:v>
      </x:c>
      <x:c r="D8" s="19" t="n">
        <x:v>12020000</x:v>
      </x:c>
    </x:row>
    <x:row r="9">
      <x:c r="A9" s="18" t="n">
        <x:v>45839</x:v>
      </x:c>
      <x:c r="B9" s="15" t="str">
        <x:v>약제</x:v>
      </x:c>
      <x:c r="C9" s="15" t="str">
        <x:v>원내사용 약제</x:v>
      </x:c>
      <x:c r="D9" s="19" t="n">
        <x:v>7720000</x:v>
      </x:c>
    </x:row>
    <x:row r="10">
      <x:c r="A10" s="18" t="n">
        <x:v>45839</x:v>
      </x:c>
      <x:c r="B10" s="15" t="str">
        <x:v>장비</x:v>
      </x:c>
      <x:c r="C10" s="15" t="str">
        <x:v>소형기기 및 교체품</x:v>
      </x:c>
      <x:c r="D10" s="19" t="n">
        <x:v>2920000</x:v>
      </x:c>
    </x:row>
    <x:row r="11">
      <x:c r="A11" s="18" t="n">
        <x:v>45870</x:v>
      </x:c>
      <x:c r="B11" s="15" t="str">
        <x:v>의료소모품</x:v>
      </x:c>
      <x:c r="C11" s="15" t="str">
        <x:v>시술/처치 소모품</x:v>
      </x:c>
      <x:c r="D11" s="19" t="n">
        <x:v>12140000</x:v>
      </x:c>
    </x:row>
    <x:row r="12">
      <x:c r="A12" s="18" t="n">
        <x:v>45870</x:v>
      </x:c>
      <x:c r="B12" s="15" t="str">
        <x:v>약제</x:v>
      </x:c>
      <x:c r="C12" s="15" t="str">
        <x:v>원내사용 약제</x:v>
      </x:c>
      <x:c r="D12" s="19" t="n">
        <x:v>7840000</x:v>
      </x:c>
    </x:row>
    <x:row r="13">
      <x:c r="A13" s="18" t="n">
        <x:v>45870</x:v>
      </x:c>
      <x:c r="B13" s="15" t="str">
        <x:v>장비</x:v>
      </x:c>
      <x:c r="C13" s="15" t="str">
        <x:v>소형기기 및 교체품</x:v>
      </x:c>
      <x:c r="D13" s="19" t="n">
        <x:v>3040000</x:v>
      </x:c>
    </x:row>
    <x:row r="14">
      <x:c r="A14" s="18" t="n">
        <x:v>45901</x:v>
      </x:c>
      <x:c r="B14" s="15" t="str">
        <x:v>의료소모품</x:v>
      </x:c>
      <x:c r="C14" s="15" t="str">
        <x:v>시술/처치 소모품</x:v>
      </x:c>
      <x:c r="D14" s="19" t="n">
        <x:v>12260000</x:v>
      </x:c>
    </x:row>
    <x:row r="15">
      <x:c r="A15" s="18" t="n">
        <x:v>45901</x:v>
      </x:c>
      <x:c r="B15" s="15" t="str">
        <x:v>약제</x:v>
      </x:c>
      <x:c r="C15" s="15" t="str">
        <x:v>원내사용 약제</x:v>
      </x:c>
      <x:c r="D15" s="19" t="n">
        <x:v>7960000</x:v>
      </x:c>
    </x:row>
    <x:row r="16">
      <x:c r="A16" s="18" t="n">
        <x:v>45901</x:v>
      </x:c>
      <x:c r="B16" s="15" t="str">
        <x:v>장비</x:v>
      </x:c>
      <x:c r="C16" s="15" t="str">
        <x:v>소형기기 및 교체품</x:v>
      </x:c>
      <x:c r="D16" s="19" t="n">
        <x:v>3160000</x:v>
      </x:c>
    </x:row>
    <x:row r="17">
      <x:c r="A17" s="18" t="n">
        <x:v>45931</x:v>
      </x:c>
      <x:c r="B17" s="15" t="str">
        <x:v>의료소모품</x:v>
      </x:c>
      <x:c r="C17" s="15" t="str">
        <x:v>시술/처치 소모품</x:v>
      </x:c>
      <x:c r="D17" s="19" t="n">
        <x:v>12380000</x:v>
      </x:c>
    </x:row>
    <x:row r="18">
      <x:c r="A18" s="18" t="n">
        <x:v>45931</x:v>
      </x:c>
      <x:c r="B18" s="15" t="str">
        <x:v>약제</x:v>
      </x:c>
      <x:c r="C18" s="15" t="str">
        <x:v>원내사용 약제</x:v>
      </x:c>
      <x:c r="D18" s="19" t="n">
        <x:v>8080000</x:v>
      </x:c>
    </x:row>
    <x:row r="19">
      <x:c r="A19" s="18" t="n">
        <x:v>45931</x:v>
      </x:c>
      <x:c r="B19" s="15" t="str">
        <x:v>장비</x:v>
      </x:c>
      <x:c r="C19" s="15" t="str">
        <x:v>소형기기 및 교체품</x:v>
      </x:c>
      <x:c r="D19" s="19" t="n">
        <x:v>3280000</x:v>
      </x:c>
    </x:row>
    <x:row r="20">
      <x:c r="A20" s="18" t="n">
        <x:v>45962</x:v>
      </x:c>
      <x:c r="B20" s="15" t="str">
        <x:v>의료소모품</x:v>
      </x:c>
      <x:c r="C20" s="15" t="str">
        <x:v>시술/처치 소모품</x:v>
      </x:c>
      <x:c r="D20" s="19" t="n">
        <x:v>12500000</x:v>
      </x:c>
    </x:row>
    <x:row r="21">
      <x:c r="A21" s="18" t="n">
        <x:v>45962</x:v>
      </x:c>
      <x:c r="B21" s="15" t="str">
        <x:v>약제</x:v>
      </x:c>
      <x:c r="C21" s="15" t="str">
        <x:v>원내사용 약제</x:v>
      </x:c>
      <x:c r="D21" s="19" t="n">
        <x:v>8200000</x:v>
      </x:c>
    </x:row>
    <x:row r="22">
      <x:c r="A22" s="18" t="n">
        <x:v>45962</x:v>
      </x:c>
      <x:c r="B22" s="15" t="str">
        <x:v>장비</x:v>
      </x:c>
      <x:c r="C22" s="15" t="str">
        <x:v>소형기기 및 교체품</x:v>
      </x:c>
      <x:c r="D22" s="19" t="n">
        <x:v>3400000</x:v>
      </x:c>
    </x:row>
    <x:row r="23">
      <x:c r="A23" s="18" t="n">
        <x:v>45992</x:v>
      </x:c>
      <x:c r="B23" s="15" t="str">
        <x:v>의료소모품</x:v>
      </x:c>
      <x:c r="C23" s="15" t="str">
        <x:v>시술/처치 소모품</x:v>
      </x:c>
      <x:c r="D23" s="19" t="n">
        <x:v>12620000</x:v>
      </x:c>
    </x:row>
    <x:row r="24">
      <x:c r="A24" s="18" t="n">
        <x:v>45992</x:v>
      </x:c>
      <x:c r="B24" s="15" t="str">
        <x:v>약제</x:v>
      </x:c>
      <x:c r="C24" s="15" t="str">
        <x:v>원내사용 약제</x:v>
      </x:c>
      <x:c r="D24" s="19" t="n">
        <x:v>8320000</x:v>
      </x:c>
    </x:row>
    <x:row r="25">
      <x:c r="A25" s="18" t="n">
        <x:v>45992</x:v>
      </x:c>
      <x:c r="B25" s="15" t="str">
        <x:v>장비</x:v>
      </x:c>
      <x:c r="C25" s="15" t="str">
        <x:v>소형기기 및 교체품</x:v>
      </x:c>
      <x:c r="D25" s="19" t="n">
        <x:v>3520000</x:v>
      </x:c>
    </x:row>
    <x:row r="26">
      <x:c r="A26" s="18" t="n">
        <x:v>46023</x:v>
      </x:c>
      <x:c r="B26" s="15" t="str">
        <x:v>의료소모품</x:v>
      </x:c>
      <x:c r="C26" s="15" t="str">
        <x:v>시술/처치 소모품</x:v>
      </x:c>
      <x:c r="D26" s="19" t="n">
        <x:v>12740000</x:v>
      </x:c>
    </x:row>
    <x:row r="27">
      <x:c r="A27" s="18" t="n">
        <x:v>46023</x:v>
      </x:c>
      <x:c r="B27" s="15" t="str">
        <x:v>약제</x:v>
      </x:c>
      <x:c r="C27" s="15" t="str">
        <x:v>원내사용 약제</x:v>
      </x:c>
      <x:c r="D27" s="19" t="n">
        <x:v>8440000</x:v>
      </x:c>
    </x:row>
    <x:row r="28">
      <x:c r="A28" s="18" t="n">
        <x:v>46023</x:v>
      </x:c>
      <x:c r="B28" s="15" t="str">
        <x:v>장비</x:v>
      </x:c>
      <x:c r="C28" s="15" t="str">
        <x:v>소형기기 및 교체품</x:v>
      </x:c>
      <x:c r="D28" s="19" t="n">
        <x:v>3640000</x:v>
      </x:c>
    </x:row>
    <x:row r="29">
      <x:c r="A29" s="18" t="n">
        <x:v>46054</x:v>
      </x:c>
      <x:c r="B29" s="15" t="str">
        <x:v>의료소모품</x:v>
      </x:c>
      <x:c r="C29" s="15" t="str">
        <x:v>시술/처치 소모품</x:v>
      </x:c>
      <x:c r="D29" s="19" t="n">
        <x:v>12860000</x:v>
      </x:c>
    </x:row>
    <x:row r="30">
      <x:c r="A30" s="18" t="n">
        <x:v>46054</x:v>
      </x:c>
      <x:c r="B30" s="15" t="str">
        <x:v>약제</x:v>
      </x:c>
      <x:c r="C30" s="15" t="str">
        <x:v>원내사용 약제</x:v>
      </x:c>
      <x:c r="D30" s="19" t="n">
        <x:v>8560000</x:v>
      </x:c>
    </x:row>
    <x:row r="31">
      <x:c r="A31" s="18" t="n">
        <x:v>46054</x:v>
      </x:c>
      <x:c r="B31" s="15" t="str">
        <x:v>장비</x:v>
      </x:c>
      <x:c r="C31" s="15" t="str">
        <x:v>소형기기 및 교체품</x:v>
      </x:c>
      <x:c r="D31" s="19" t="n">
        <x:v>3760000</x:v>
      </x:c>
    </x:row>
    <x:row r="32">
      <x:c r="A32" s="18" t="n">
        <x:v>46082</x:v>
      </x:c>
      <x:c r="B32" s="15" t="str">
        <x:v>의료소모품</x:v>
      </x:c>
      <x:c r="C32" s="15" t="str">
        <x:v>시술/처치 소모품</x:v>
      </x:c>
      <x:c r="D32" s="19" t="n">
        <x:v>12980000</x:v>
      </x:c>
    </x:row>
    <x:row r="33">
      <x:c r="A33" s="18" t="n">
        <x:v>46082</x:v>
      </x:c>
      <x:c r="B33" s="15" t="str">
        <x:v>약제</x:v>
      </x:c>
      <x:c r="C33" s="15" t="str">
        <x:v>원내사용 약제</x:v>
      </x:c>
      <x:c r="D33" s="19" t="n">
        <x:v>8680000</x:v>
      </x:c>
    </x:row>
    <x:row r="34">
      <x:c r="A34" s="18" t="n">
        <x:v>46082</x:v>
      </x:c>
      <x:c r="B34" s="15" t="str">
        <x:v>장비</x:v>
      </x:c>
      <x:c r="C34" s="15" t="str">
        <x:v>소형기기 및 교체품</x:v>
      </x:c>
      <x:c r="D34" s="19" t="n">
        <x:v>3880000</x:v>
      </x:c>
    </x:row>
    <x:row r="35">
      <x:c r="A35" s="18" t="n">
        <x:v>46113</x:v>
      </x:c>
      <x:c r="B35" s="15" t="str">
        <x:v>의료소모품</x:v>
      </x:c>
      <x:c r="C35" s="15" t="str">
        <x:v>시술/처치 소모품</x:v>
      </x:c>
      <x:c r="D35" s="19" t="n">
        <x:v>13100000</x:v>
      </x:c>
    </x:row>
    <x:row r="36">
      <x:c r="A36" s="18" t="n">
        <x:v>46113</x:v>
      </x:c>
      <x:c r="B36" s="15" t="str">
        <x:v>약제</x:v>
      </x:c>
      <x:c r="C36" s="15" t="str">
        <x:v>원내사용 약제</x:v>
      </x:c>
      <x:c r="D36" s="19" t="n">
        <x:v>8800000</x:v>
      </x:c>
    </x:row>
    <x:row r="37">
      <x:c r="A37" s="18" t="n">
        <x:v>46113</x:v>
      </x:c>
      <x:c r="B37" s="15" t="str">
        <x:v>장비</x:v>
      </x:c>
      <x:c r="C37" s="15" t="str">
        <x:v>소형기기 및 교체품</x:v>
      </x:c>
      <x:c r="D37" s="19" t="n">
        <x:v>4000000</x:v>
      </x:c>
    </x:row>
    <x:row r="38">
      <x:c r="A38" s="18" t="n">
        <x:v>46143</x:v>
      </x:c>
      <x:c r="B38" s="15" t="str">
        <x:v>의료소모품</x:v>
      </x:c>
      <x:c r="C38" s="15" t="str">
        <x:v>시술/처치 소모품</x:v>
      </x:c>
      <x:c r="D38" s="19" t="n">
        <x:v>13220000</x:v>
      </x:c>
    </x:row>
    <x:row r="39">
      <x:c r="A39" s="18" t="n">
        <x:v>46143</x:v>
      </x:c>
      <x:c r="B39" s="15" t="str">
        <x:v>약제</x:v>
      </x:c>
      <x:c r="C39" s="15" t="str">
        <x:v>원내사용 약제</x:v>
      </x:c>
      <x:c r="D39" s="19" t="n">
        <x:v>8920000</x:v>
      </x:c>
    </x:row>
    <x:row r="40">
      <x:c r="A40" s="18" t="n">
        <x:v>46143</x:v>
      </x:c>
      <x:c r="B40" s="15" t="str">
        <x:v>장비</x:v>
      </x:c>
      <x:c r="C40" s="15" t="str">
        <x:v>소형기기 및 교체품</x:v>
      </x:c>
      <x:c r="D40" s="19" t="n">
        <x:v>4120000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e920b77f610e43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4" t="str">
        <x:v>월간 원무 지표 | 건/명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 ht="30" customHeight="1">
      <x:c r="A4" s="13" t="str">
        <x:v>기준월</x:v>
      </x:c>
      <x:c r="B4" s="13" t="str">
        <x:v>신환수</x:v>
      </x:c>
      <x:c r="C4" s="13" t="str">
        <x:v>총내원환자수</x:v>
      </x:c>
      <x:c r="D4" s="13" t="str">
        <x:v>재진수</x:v>
      </x:c>
      <x:c r="E4" s="13" t="str">
        <x:v>급여청구건수</x:v>
      </x:c>
      <x:c r="F4" s="13" t="str">
        <x:v>비급여환자수</x:v>
      </x:c>
    </x:row>
    <x:row r="5">
      <x:c r="A5" s="18" t="n">
        <x:v>45809</x:v>
      </x:c>
      <x:c r="B5" s="21" t="n">
        <x:v>280</x:v>
      </x:c>
      <x:c r="C5" s="21" t="n">
        <x:v>2900</x:v>
      </x:c>
      <x:c r="D5" s="21" t="n">
        <x:v>2620</x:v>
      </x:c>
      <x:c r="E5" s="21" t="n">
        <x:v>2200</x:v>
      </x:c>
      <x:c r="F5" s="21" t="n">
        <x:v>700</x:v>
      </x:c>
    </x:row>
    <x:row r="6">
      <x:c r="A6" s="18" t="n">
        <x:v>45839</x:v>
      </x:c>
      <x:c r="B6" s="21" t="n">
        <x:v>286</x:v>
      </x:c>
      <x:c r="C6" s="21" t="n">
        <x:v>2935</x:v>
      </x:c>
      <x:c r="D6" s="21" t="n">
        <x:v>2649</x:v>
      </x:c>
      <x:c r="E6" s="21" t="n">
        <x:v>2220</x:v>
      </x:c>
      <x:c r="F6" s="21" t="n">
        <x:v>715</x:v>
      </x:c>
    </x:row>
    <x:row r="7">
      <x:c r="A7" s="18" t="n">
        <x:v>45870</x:v>
      </x:c>
      <x:c r="B7" s="21" t="n">
        <x:v>292</x:v>
      </x:c>
      <x:c r="C7" s="21" t="n">
        <x:v>2970</x:v>
      </x:c>
      <x:c r="D7" s="21" t="n">
        <x:v>2678</x:v>
      </x:c>
      <x:c r="E7" s="21" t="n">
        <x:v>2240</x:v>
      </x:c>
      <x:c r="F7" s="21" t="n">
        <x:v>730</x:v>
      </x:c>
    </x:row>
    <x:row r="8">
      <x:c r="A8" s="18" t="n">
        <x:v>45901</x:v>
      </x:c>
      <x:c r="B8" s="21" t="n">
        <x:v>298</x:v>
      </x:c>
      <x:c r="C8" s="21" t="n">
        <x:v>3005</x:v>
      </x:c>
      <x:c r="D8" s="21" t="n">
        <x:v>2707</x:v>
      </x:c>
      <x:c r="E8" s="21" t="n">
        <x:v>2260</x:v>
      </x:c>
      <x:c r="F8" s="21" t="n">
        <x:v>745</x:v>
      </x:c>
    </x:row>
    <x:row r="9">
      <x:c r="A9" s="18" t="n">
        <x:v>45931</x:v>
      </x:c>
      <x:c r="B9" s="21" t="n">
        <x:v>304</x:v>
      </x:c>
      <x:c r="C9" s="21" t="n">
        <x:v>3040</x:v>
      </x:c>
      <x:c r="D9" s="21" t="n">
        <x:v>2736</x:v>
      </x:c>
      <x:c r="E9" s="21" t="n">
        <x:v>2280</x:v>
      </x:c>
      <x:c r="F9" s="21" t="n">
        <x:v>760</x:v>
      </x:c>
    </x:row>
    <x:row r="10">
      <x:c r="A10" s="18" t="n">
        <x:v>45962</x:v>
      </x:c>
      <x:c r="B10" s="21" t="n">
        <x:v>310</x:v>
      </x:c>
      <x:c r="C10" s="21" t="n">
        <x:v>3075</x:v>
      </x:c>
      <x:c r="D10" s="21" t="n">
        <x:v>2765</x:v>
      </x:c>
      <x:c r="E10" s="21" t="n">
        <x:v>2300</x:v>
      </x:c>
      <x:c r="F10" s="21" t="n">
        <x:v>775</x:v>
      </x:c>
    </x:row>
    <x:row r="11">
      <x:c r="A11" s="18" t="n">
        <x:v>45992</x:v>
      </x:c>
      <x:c r="B11" s="21" t="n">
        <x:v>316</x:v>
      </x:c>
      <x:c r="C11" s="21" t="n">
        <x:v>3110</x:v>
      </x:c>
      <x:c r="D11" s="21" t="n">
        <x:v>2794</x:v>
      </x:c>
      <x:c r="E11" s="21" t="n">
        <x:v>2320</x:v>
      </x:c>
      <x:c r="F11" s="21" t="n">
        <x:v>790</x:v>
      </x:c>
    </x:row>
    <x:row r="12">
      <x:c r="A12" s="18" t="n">
        <x:v>46023</x:v>
      </x:c>
      <x:c r="B12" s="21" t="n">
        <x:v>322</x:v>
      </x:c>
      <x:c r="C12" s="21" t="n">
        <x:v>3145</x:v>
      </x:c>
      <x:c r="D12" s="21" t="n">
        <x:v>2823</x:v>
      </x:c>
      <x:c r="E12" s="21" t="n">
        <x:v>2340</x:v>
      </x:c>
      <x:c r="F12" s="21" t="n">
        <x:v>805</x:v>
      </x:c>
    </x:row>
    <x:row r="13">
      <x:c r="A13" s="18" t="n">
        <x:v>46054</x:v>
      </x:c>
      <x:c r="B13" s="21" t="n">
        <x:v>328</x:v>
      </x:c>
      <x:c r="C13" s="21" t="n">
        <x:v>3180</x:v>
      </x:c>
      <x:c r="D13" s="21" t="n">
        <x:v>2852</x:v>
      </x:c>
      <x:c r="E13" s="21" t="n">
        <x:v>2360</x:v>
      </x:c>
      <x:c r="F13" s="21" t="n">
        <x:v>820</x:v>
      </x:c>
    </x:row>
    <x:row r="14">
      <x:c r="A14" s="18" t="n">
        <x:v>46082</x:v>
      </x:c>
      <x:c r="B14" s="21" t="n">
        <x:v>334</x:v>
      </x:c>
      <x:c r="C14" s="21" t="n">
        <x:v>3215</x:v>
      </x:c>
      <x:c r="D14" s="21" t="n">
        <x:v>2881</x:v>
      </x:c>
      <x:c r="E14" s="21" t="n">
        <x:v>2380</x:v>
      </x:c>
      <x:c r="F14" s="21" t="n">
        <x:v>835</x:v>
      </x:c>
    </x:row>
    <x:row r="15">
      <x:c r="A15" s="18" t="n">
        <x:v>46113</x:v>
      </x:c>
      <x:c r="B15" s="21" t="n">
        <x:v>340</x:v>
      </x:c>
      <x:c r="C15" s="21" t="n">
        <x:v>3250</x:v>
      </x:c>
      <x:c r="D15" s="21" t="n">
        <x:v>2910</x:v>
      </x:c>
      <x:c r="E15" s="21" t="n">
        <x:v>2400</x:v>
      </x:c>
      <x:c r="F15" s="21" t="n">
        <x:v>850</x:v>
      </x:c>
    </x:row>
    <x:row r="16">
      <x:c r="A16" s="18" t="n">
        <x:v>46143</x:v>
      </x:c>
      <x:c r="B16" s="21" t="n">
        <x:v>346</x:v>
      </x:c>
      <x:c r="C16" s="21" t="n">
        <x:v>3285</x:v>
      </x:c>
      <x:c r="D16" s="21" t="n">
        <x:v>2939</x:v>
      </x:c>
      <x:c r="E16" s="21" t="n">
        <x:v>2420</x:v>
      </x:c>
      <x:c r="F16" s="21" t="n">
        <x:v>865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e1ef58ff21a843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</x:cols>
  <x:sheetData>
    <x:row r="1" ht="34" customHeight="1">
      <x:c r="A1" s="4" t="str">
        <x:v>주상병 집계 | 환자식별정보 입력 금지</x:v>
      </x:c>
      <x:c r="B1" s="4"/>
      <x:c r="C1" s="4"/>
      <x:c r="D1" s="4"/>
      <x:c r="E1" s="4"/>
      <x:c r="F1" s="4"/>
    </x:row>
    <x:row r="2" ht="34" customHeight="1">
      <x:c r="A2" s="4"/>
      <x:c r="B2" s="4"/>
      <x:c r="C2" s="4"/>
      <x:c r="D2" s="4"/>
      <x:c r="E2" s="4"/>
      <x:c r="F2" s="4"/>
    </x:row>
    <x:row r="4" ht="30" customHeight="1">
      <x:c r="A4" s="13" t="str">
        <x:v>기준월</x:v>
      </x:c>
      <x:c r="B4" s="13" t="str">
        <x:v>주상병코드</x:v>
      </x:c>
      <x:c r="C4" s="13" t="str">
        <x:v>주상병명</x:v>
      </x:c>
      <x:c r="D4" s="13" t="str">
        <x:v>내원건수</x:v>
      </x:c>
    </x:row>
    <x:row r="5">
      <x:c r="A5" s="18" t="n">
        <x:v>46143</x:v>
      </x:c>
      <x:c r="B5" s="15" t="str">
        <x:v>M54.5</x:v>
      </x:c>
      <x:c r="C5" s="15" t="str">
        <x:v>요통</x:v>
      </x:c>
      <x:c r="D5" s="21" t="n">
        <x:v>480</x:v>
      </x:c>
    </x:row>
    <x:row r="6">
      <x:c r="A6" s="18" t="n">
        <x:v>46143</x:v>
      </x:c>
      <x:c r="B6" s="15" t="str">
        <x:v>J06.9</x:v>
      </x:c>
      <x:c r="C6" s="15" t="str">
        <x:v>급성 상기도감염</x:v>
      </x:c>
      <x:c r="D6" s="21" t="n">
        <x:v>340</x:v>
      </x:c>
    </x:row>
    <x:row r="7">
      <x:c r="A7" s="18" t="n">
        <x:v>46143</x:v>
      </x:c>
      <x:c r="B7" s="15" t="str">
        <x:v>I10</x:v>
      </x:c>
      <x:c r="C7" s="15" t="str">
        <x:v>본태성 고혈압</x:v>
      </x:c>
      <x:c r="D7" s="21" t="n">
        <x:v>290</x:v>
      </x:c>
    </x:row>
    <x:row r="8">
      <x:c r="A8" s="18" t="n">
        <x:v>46143</x:v>
      </x:c>
      <x:c r="B8" s="15" t="str">
        <x:v>E11.9</x:v>
      </x:c>
      <x:c r="C8" s="15" t="str">
        <x:v>제2형 당뇨병</x:v>
      </x:c>
      <x:c r="D8" s="21" t="n">
        <x:v>230</x:v>
      </x:c>
    </x:row>
    <x:row r="9">
      <x:c r="A9" s="18" t="n">
        <x:v>46143</x:v>
      </x:c>
      <x:c r="B9" s="15" t="str">
        <x:v>K29.7</x:v>
      </x:c>
      <x:c r="C9" s="15" t="str">
        <x:v>위염</x:v>
      </x:c>
      <x:c r="D9" s="21" t="n">
        <x:v>155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0b9240403d5144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4" t="str">
        <x:v>운영 및 청구심사 보조지표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30" customHeight="1">
      <x:c r="A4" s="13" t="str">
        <x:v>기준월</x:v>
      </x:c>
      <x:c r="B4" s="13" t="str">
        <x:v>진료일수</x:v>
      </x:c>
      <x:c r="C4" s="13" t="str">
        <x:v>의사수</x:v>
      </x:c>
      <x:c r="D4" s="13" t="str">
        <x:v>청구액</x:v>
      </x:c>
      <x:c r="E4" s="13" t="str">
        <x:v>삭감액</x:v>
      </x:c>
      <x:c r="F4" s="13" t="str">
        <x:v>미수금잔액</x:v>
      </x:c>
      <x:c r="G4" s="13" t="str">
        <x:v>마케팅비</x:v>
      </x:c>
      <x:c r="H4" s="13" t="str">
        <x:v>예약건수</x:v>
      </x:c>
      <x:c r="I4" s="13" t="str">
        <x:v>예약부도건수</x:v>
      </x:c>
    </x:row>
    <x:row r="5">
      <x:c r="A5" s="18" t="n">
        <x:v>45809</x:v>
      </x:c>
      <x:c r="B5" s="21" t="n">
        <x:v>24</x:v>
      </x:c>
      <x:c r="C5" s="21" t="n">
        <x:v>3</x:v>
      </x:c>
      <x:c r="D5" s="19" t="n">
        <x:v>152000000</x:v>
      </x:c>
      <x:c r="E5" s="19" t="n">
        <x:v>2300000</x:v>
      </x:c>
      <x:c r="F5" s="19" t="n">
        <x:v>15000000</x:v>
      </x:c>
      <x:c r="G5" s="19" t="n">
        <x:v>3600000</x:v>
      </x:c>
      <x:c r="H5" s="21" t="n">
        <x:v>1550</x:v>
      </x:c>
      <x:c r="I5" s="21" t="n">
        <x:v>72</x:v>
      </x:c>
    </x:row>
    <x:row r="6">
      <x:c r="A6" s="18" t="n">
        <x:v>45839</x:v>
      </x:c>
      <x:c r="B6" s="21" t="n">
        <x:v>24</x:v>
      </x:c>
      <x:c r="C6" s="21" t="n">
        <x:v>3</x:v>
      </x:c>
      <x:c r="D6" s="19" t="n">
        <x:v>153700000</x:v>
      </x:c>
      <x:c r="E6" s="19" t="n">
        <x:v>2260000</x:v>
      </x:c>
      <x:c r="F6" s="19" t="n">
        <x:v>14700000</x:v>
      </x:c>
      <x:c r="G6" s="19" t="n">
        <x:v>3600000</x:v>
      </x:c>
      <x:c r="H6" s="21" t="n">
        <x:v>1565</x:v>
      </x:c>
      <x:c r="I6" s="21" t="n">
        <x:v>71</x:v>
      </x:c>
    </x:row>
    <x:row r="7">
      <x:c r="A7" s="18" t="n">
        <x:v>45870</x:v>
      </x:c>
      <x:c r="B7" s="21" t="n">
        <x:v>24</x:v>
      </x:c>
      <x:c r="C7" s="21" t="n">
        <x:v>3</x:v>
      </x:c>
      <x:c r="D7" s="19" t="n">
        <x:v>155400000</x:v>
      </x:c>
      <x:c r="E7" s="19" t="n">
        <x:v>2220000</x:v>
      </x:c>
      <x:c r="F7" s="19" t="n">
        <x:v>14400000</x:v>
      </x:c>
      <x:c r="G7" s="19" t="n">
        <x:v>3600000</x:v>
      </x:c>
      <x:c r="H7" s="21" t="n">
        <x:v>1580</x:v>
      </x:c>
      <x:c r="I7" s="21" t="n">
        <x:v>70</x:v>
      </x:c>
    </x:row>
    <x:row r="8">
      <x:c r="A8" s="18" t="n">
        <x:v>45901</x:v>
      </x:c>
      <x:c r="B8" s="21" t="n">
        <x:v>24</x:v>
      </x:c>
      <x:c r="C8" s="21" t="n">
        <x:v>3</x:v>
      </x:c>
      <x:c r="D8" s="19" t="n">
        <x:v>157100000</x:v>
      </x:c>
      <x:c r="E8" s="19" t="n">
        <x:v>2180000</x:v>
      </x:c>
      <x:c r="F8" s="19" t="n">
        <x:v>14100000</x:v>
      </x:c>
      <x:c r="G8" s="19" t="n">
        <x:v>3600000</x:v>
      </x:c>
      <x:c r="H8" s="21" t="n">
        <x:v>1595</x:v>
      </x:c>
      <x:c r="I8" s="21" t="n">
        <x:v>69</x:v>
      </x:c>
    </x:row>
    <x:row r="9">
      <x:c r="A9" s="18" t="n">
        <x:v>45931</x:v>
      </x:c>
      <x:c r="B9" s="21" t="n">
        <x:v>24</x:v>
      </x:c>
      <x:c r="C9" s="21" t="n">
        <x:v>3</x:v>
      </x:c>
      <x:c r="D9" s="19" t="n">
        <x:v>158800000</x:v>
      </x:c>
      <x:c r="E9" s="19" t="n">
        <x:v>2140000</x:v>
      </x:c>
      <x:c r="F9" s="19" t="n">
        <x:v>13800000</x:v>
      </x:c>
      <x:c r="G9" s="19" t="n">
        <x:v>3600000</x:v>
      </x:c>
      <x:c r="H9" s="21" t="n">
        <x:v>1610</x:v>
      </x:c>
      <x:c r="I9" s="21" t="n">
        <x:v>68</x:v>
      </x:c>
    </x:row>
    <x:row r="10">
      <x:c r="A10" s="18" t="n">
        <x:v>45962</x:v>
      </x:c>
      <x:c r="B10" s="21" t="n">
        <x:v>24</x:v>
      </x:c>
      <x:c r="C10" s="21" t="n">
        <x:v>3</x:v>
      </x:c>
      <x:c r="D10" s="19" t="n">
        <x:v>160500000</x:v>
      </x:c>
      <x:c r="E10" s="19" t="n">
        <x:v>2100000</x:v>
      </x:c>
      <x:c r="F10" s="19" t="n">
        <x:v>13500000</x:v>
      </x:c>
      <x:c r="G10" s="19" t="n">
        <x:v>3600000</x:v>
      </x:c>
      <x:c r="H10" s="21" t="n">
        <x:v>1625</x:v>
      </x:c>
      <x:c r="I10" s="21" t="n">
        <x:v>67</x:v>
      </x:c>
    </x:row>
    <x:row r="11">
      <x:c r="A11" s="18" t="n">
        <x:v>45992</x:v>
      </x:c>
      <x:c r="B11" s="21" t="n">
        <x:v>24</x:v>
      </x:c>
      <x:c r="C11" s="21" t="n">
        <x:v>3</x:v>
      </x:c>
      <x:c r="D11" s="19" t="n">
        <x:v>162200000</x:v>
      </x:c>
      <x:c r="E11" s="19" t="n">
        <x:v>2060000</x:v>
      </x:c>
      <x:c r="F11" s="19" t="n">
        <x:v>13200000</x:v>
      </x:c>
      <x:c r="G11" s="19" t="n">
        <x:v>3600000</x:v>
      </x:c>
      <x:c r="H11" s="21" t="n">
        <x:v>1640</x:v>
      </x:c>
      <x:c r="I11" s="21" t="n">
        <x:v>66</x:v>
      </x:c>
    </x:row>
    <x:row r="12">
      <x:c r="A12" s="18" t="n">
        <x:v>46023</x:v>
      </x:c>
      <x:c r="B12" s="21" t="n">
        <x:v>24</x:v>
      </x:c>
      <x:c r="C12" s="21" t="n">
        <x:v>3</x:v>
      </x:c>
      <x:c r="D12" s="19" t="n">
        <x:v>163900000</x:v>
      </x:c>
      <x:c r="E12" s="19" t="n">
        <x:v>2020000</x:v>
      </x:c>
      <x:c r="F12" s="19" t="n">
        <x:v>12900000</x:v>
      </x:c>
      <x:c r="G12" s="19" t="n">
        <x:v>3600000</x:v>
      </x:c>
      <x:c r="H12" s="21" t="n">
        <x:v>1655</x:v>
      </x:c>
      <x:c r="I12" s="21" t="n">
        <x:v>65</x:v>
      </x:c>
    </x:row>
    <x:row r="13">
      <x:c r="A13" s="18" t="n">
        <x:v>46054</x:v>
      </x:c>
      <x:c r="B13" s="21" t="n">
        <x:v>24</x:v>
      </x:c>
      <x:c r="C13" s="21" t="n">
        <x:v>3</x:v>
      </x:c>
      <x:c r="D13" s="19" t="n">
        <x:v>165600000</x:v>
      </x:c>
      <x:c r="E13" s="19" t="n">
        <x:v>1980000</x:v>
      </x:c>
      <x:c r="F13" s="19" t="n">
        <x:v>12600000</x:v>
      </x:c>
      <x:c r="G13" s="19" t="n">
        <x:v>3600000</x:v>
      </x:c>
      <x:c r="H13" s="21" t="n">
        <x:v>1670</x:v>
      </x:c>
      <x:c r="I13" s="21" t="n">
        <x:v>64</x:v>
      </x:c>
    </x:row>
    <x:row r="14">
      <x:c r="A14" s="18" t="n">
        <x:v>46082</x:v>
      </x:c>
      <x:c r="B14" s="21" t="n">
        <x:v>24</x:v>
      </x:c>
      <x:c r="C14" s="21" t="n">
        <x:v>3</x:v>
      </x:c>
      <x:c r="D14" s="19" t="n">
        <x:v>167300000</x:v>
      </x:c>
      <x:c r="E14" s="19" t="n">
        <x:v>1940000</x:v>
      </x:c>
      <x:c r="F14" s="19" t="n">
        <x:v>12300000</x:v>
      </x:c>
      <x:c r="G14" s="19" t="n">
        <x:v>3600000</x:v>
      </x:c>
      <x:c r="H14" s="21" t="n">
        <x:v>1685</x:v>
      </x:c>
      <x:c r="I14" s="21" t="n">
        <x:v>63</x:v>
      </x:c>
    </x:row>
    <x:row r="15">
      <x:c r="A15" s="18" t="n">
        <x:v>46113</x:v>
      </x:c>
      <x:c r="B15" s="21" t="n">
        <x:v>24</x:v>
      </x:c>
      <x:c r="C15" s="21" t="n">
        <x:v>3</x:v>
      </x:c>
      <x:c r="D15" s="19" t="n">
        <x:v>169000000</x:v>
      </x:c>
      <x:c r="E15" s="19" t="n">
        <x:v>1900000</x:v>
      </x:c>
      <x:c r="F15" s="19" t="n">
        <x:v>12000000</x:v>
      </x:c>
      <x:c r="G15" s="19" t="n">
        <x:v>3600000</x:v>
      </x:c>
      <x:c r="H15" s="21" t="n">
        <x:v>1700</x:v>
      </x:c>
      <x:c r="I15" s="21" t="n">
        <x:v>62</x:v>
      </x:c>
    </x:row>
    <x:row r="16">
      <x:c r="A16" s="18" t="n">
        <x:v>46143</x:v>
      </x:c>
      <x:c r="B16" s="21" t="n">
        <x:v>24</x:v>
      </x:c>
      <x:c r="C16" s="21" t="n">
        <x:v>3</x:v>
      </x:c>
      <x:c r="D16" s="19" t="n">
        <x:v>170700000</x:v>
      </x:c>
      <x:c r="E16" s="19" t="n">
        <x:v>1860000</x:v>
      </x:c>
      <x:c r="F16" s="19" t="n">
        <x:v>11700000</x:v>
      </x:c>
      <x:c r="G16" s="19" t="n">
        <x:v>3600000</x:v>
      </x:c>
      <x:c r="H16" s="21" t="n">
        <x:v>1715</x:v>
      </x:c>
      <x:c r="I16" s="21" t="n">
        <x:v>61</x:v>
      </x:c>
    </x:row>
  </x:sheetData>
  <x:mergeCells>
    <x:mergeCell ref="A1:K2"/>
  </x:mergeCells>
  <x:pageMargins left="0.7" right="0.7" top="0.75" bottom="0.75" header="0.3" footer="0.3"/>
  <x:tableParts count="1">
    <x:tablePart xmlns:r="http://schemas.openxmlformats.org/officeDocument/2006/relationships" r:id="R5a85d009727f45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1" hidden="0" customWidth="1"/>
    <x:col min="3" max="3" width="18" hidden="0" customWidth="1"/>
    <x:col min="4" max="4" width="18" hidden="0" customWidth="1"/>
    <x:col min="5" max="5" width="19" hidden="0" customWidth="1"/>
    <x:col min="6" max="6" width="42" hidden="0" customWidth="1"/>
  </x:cols>
  <x:sheetData>
    <x:row r="1" ht="34" customHeight="1">
      <x:c r="A1" s="4" t="str">
        <x:v>목표 및 비교기준 | 컨설턴트 검증값 입력</x:v>
      </x:c>
      <x:c r="B1" s="4"/>
      <x:c r="C1" s="4"/>
      <x:c r="D1" s="4"/>
      <x:c r="E1" s="4"/>
      <x:c r="F1" s="4"/>
      <x:c r="G1" s="4"/>
    </x:row>
    <x:row r="2" ht="34" customHeight="1">
      <x:c r="A2" s="4"/>
      <x:c r="B2" s="4"/>
      <x:c r="C2" s="4"/>
      <x:c r="D2" s="4"/>
      <x:c r="E2" s="4"/>
      <x:c r="F2" s="4"/>
      <x:c r="G2" s="4"/>
    </x:row>
    <x:row r="4" ht="30" customHeight="1">
      <x:c r="A4" s="13" t="str">
        <x:v>지표키</x:v>
      </x:c>
      <x:c r="B4" s="13" t="str">
        <x:v>지표명</x:v>
      </x:c>
      <x:c r="C4" s="13" t="str">
        <x:v>최소목표</x:v>
      </x:c>
      <x:c r="D4" s="13" t="str">
        <x:v>최대목표</x:v>
      </x:c>
      <x:c r="E4" s="13" t="str">
        <x:v>비교방향</x:v>
      </x:c>
      <x:c r="F4" s="13" t="str">
        <x:v>출처메모</x:v>
      </x:c>
    </x:row>
    <x:row r="5">
      <x:c r="A5" s="15" t="str">
        <x:v>payroll_ratio</x:v>
      </x:c>
      <x:c r="B5" s="15" t="str">
        <x:v>인건비율</x:v>
      </x:c>
      <x:c r="C5" s="22" t="n">
        <x:v>0</x:v>
      </x:c>
      <x:c r="D5" s="22" t="n">
        <x:v>0.38</x:v>
      </x:c>
      <x:c r="E5" s="15" t="str">
        <x:v>낮을수록양호</x:v>
      </x:c>
      <x:c r="F5" s="23" t="str">
        <x:v>예시 내부관리 목표 - 실제 기준으로 교체</x:v>
      </x:c>
    </x:row>
    <x:row r="6">
      <x:c r="A6" s="15" t="str">
        <x:v>fixed_cost_ratio</x:v>
      </x:c>
      <x:c r="B6" s="15" t="str">
        <x:v>고정비율</x:v>
      </x:c>
      <x:c r="C6" s="22" t="n">
        <x:v>0</x:v>
      </x:c>
      <x:c r="D6" s="22" t="n">
        <x:v>0.18</x:v>
      </x:c>
      <x:c r="E6" s="15" t="str">
        <x:v>낮을수록양호</x:v>
      </x:c>
      <x:c r="F6" s="23" t="str">
        <x:v>예시 내부관리 목표 - 실제 기준으로 교체</x:v>
      </x:c>
    </x:row>
    <x:row r="7">
      <x:c r="A7" s="15" t="str">
        <x:v>purchase_ratio</x:v>
      </x:c>
      <x:c r="B7" s="15" t="str">
        <x:v>구매비율</x:v>
      </x:c>
      <x:c r="C7" s="22" t="n">
        <x:v>0</x:v>
      </x:c>
      <x:c r="D7" s="22" t="n">
        <x:v>0.14</x:v>
      </x:c>
      <x:c r="E7" s="15" t="str">
        <x:v>낮을수록양호</x:v>
      </x:c>
      <x:c r="F7" s="23" t="str">
        <x:v>예시 내부관리 목표 - 실제 기준으로 교체</x:v>
      </x:c>
    </x:row>
    <x:row r="8">
      <x:c r="A8" s="15" t="str">
        <x:v>surplus_margin</x:v>
      </x:c>
      <x:c r="B8" s="15" t="str">
        <x:v>제출비용 반영 경영잉여율</x:v>
      </x:c>
      <x:c r="C8" s="22" t="n">
        <x:v>0.14</x:v>
      </x:c>
      <x:c r="D8" s="22" t="n">
        <x:v>1</x:v>
      </x:c>
      <x:c r="E8" s="15" t="str">
        <x:v>높을수록양호</x:v>
      </x:c>
      <x:c r="F8" s="23" t="str">
        <x:v>예시 내부관리 목표 - 실제 기준으로 교체</x:v>
      </x:c>
    </x:row>
    <x:row r="9">
      <x:c r="A9" s="15" t="str">
        <x:v>revenue_per_visit</x:v>
      </x:c>
      <x:c r="B9" s="15" t="str">
        <x:v>내원환자 1인당 매출</x:v>
      </x:c>
      <x:c r="C9" s="19" t="n">
        <x:v>68000</x:v>
      </x:c>
      <x:c r="D9" s="19" t="n">
        <x:v>9999999</x:v>
      </x:c>
      <x:c r="E9" s="15" t="str">
        <x:v>높을수록양호</x:v>
      </x:c>
      <x:c r="F9" s="23" t="str">
        <x:v>예시 내부관리 목표 - 실제 기준으로 교체</x:v>
      </x:c>
    </x:row>
    <x:row r="10">
      <x:c r="A10" s="15" t="str">
        <x:v>new_patient_ratio</x:v>
      </x:c>
      <x:c r="B10" s="15" t="str">
        <x:v>신환비율</x:v>
      </x:c>
      <x:c r="C10" s="22" t="n">
        <x:v>0.08</x:v>
      </x:c>
      <x:c r="D10" s="22" t="n">
        <x:v>0.13</x:v>
      </x:c>
      <x:c r="E10" s="15" t="str">
        <x:v>범위내양호</x:v>
      </x:c>
      <x:c r="F10" s="23" t="str">
        <x:v>예시 내부관리 목표 - 실제 기준으로 교체</x:v>
      </x:c>
    </x:row>
    <x:row r="11">
      <x:c r="A11" s="15" t="str">
        <x:v>adjustment_ratio</x:v>
      </x:c>
      <x:c r="B11" s="15" t="str">
        <x:v>청구 삭감률</x:v>
      </x:c>
      <x:c r="C11" s="22" t="n">
        <x:v>0</x:v>
      </x:c>
      <x:c r="D11" s="22" t="n">
        <x:v>0.015</x:v>
      </x:c>
      <x:c r="E11" s="15" t="str">
        <x:v>낮을수록양호</x:v>
      </x:c>
      <x:c r="F11" s="23" t="str">
        <x:v>예시 내부관리 목표 - 실제 기준으로 교체</x:v>
      </x:c>
    </x:row>
    <x:row r="12">
      <x:c r="A12" s="15" t="str">
        <x:v>receivable_ratio</x:v>
      </x:c>
      <x:c r="B12" s="15" t="str">
        <x:v>미수금/매출 비율</x:v>
      </x:c>
      <x:c r="C12" s="22" t="n">
        <x:v>0</x:v>
      </x:c>
      <x:c r="D12" s="22" t="n">
        <x:v>0.06</x:v>
      </x:c>
      <x:c r="E12" s="15" t="str">
        <x:v>낮을수록양호</x:v>
      </x:c>
      <x:c r="F12" s="23" t="str">
        <x:v>예시 내부관리 목표 - 실제 기준으로 교체</x:v>
      </x:c>
    </x:row>
    <x:row r="13">
      <x:c r="A13" s="15" t="str">
        <x:v>no_show_ratio</x:v>
      </x:c>
      <x:c r="B13" s="15" t="str">
        <x:v>예약부도율</x:v>
      </x:c>
      <x:c r="C13" s="22" t="n">
        <x:v>0</x:v>
      </x:c>
      <x:c r="D13" s="22" t="n">
        <x:v>0.04</x:v>
      </x:c>
      <x:c r="E13" s="15" t="str">
        <x:v>낮을수록양호</x:v>
      </x:c>
      <x:c r="F13" s="23" t="str">
        <x:v>예시 내부관리 목표 - 실제 기준으로 교체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e1915fef9665469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4" customHeight="1">
      <x:c r="A1" s="4" t="str">
        <x:v>샘플 데이터 대시보드 | 입력 후 앱에서 상세보고서 생성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 ht="30" customHeight="1">
      <x:c r="A4" s="13" t="str">
        <x:v>최근월 핵심지표</x:v>
      </x:c>
      <x:c r="B4" s="13" t="str">
        <x:v>값</x:v>
      </x:c>
      <x:c r="D4" s="13" t="str">
        <x:v>기준월</x:v>
      </x:c>
      <x:c r="E4" s="13" t="str">
        <x:v>총매출</x:v>
      </x:c>
      <x:c r="F4" s="13" t="str">
        <x:v>경영잉여</x:v>
      </x:c>
    </x:row>
    <x:row r="5">
      <x:c r="A5" t="str">
        <x:v>총매출</x:v>
      </x:c>
      <x:c r="B5" s="25" t="n">
        <x:f>'월간매출'!E16</x:f>
        <x:v>251900000</x:v>
      </x:c>
      <x:c r="D5" s="28" t="str">
        <x:f>TEXT('월간매출'!A5,"yyyy-mm")</x:f>
        <x:v>2025-06</x:v>
      </x:c>
      <x:c r="E5" s="29" t="n">
        <x:f>'월간매출'!E5</x:f>
        <x:v>220000000</x:v>
      </x:c>
      <x:c r="F5" s="29" t="n">
        <x:f>E5-SUMIFS('인건비'!C$5:C$40,'인건비'!A$5:A$40,'월간매출'!A5)-SUMIFS('인건비'!D$5:D$40,'인건비'!A$5:A$40,'월간매출'!A5)-SUMIFS('인건비'!E$5:E$40,'인건비'!A$5:A$40,'월간매출'!A5)-SUMIFS('인건비'!F$5:F$40,'인건비'!A$5:A$40,'월간매출'!A5)-SUMIFS('고정비'!B$5:B$16,'고정비'!A$5:A$16,'월간매출'!A5)-SUMIFS('고정비'!C$5:C$16,'고정비'!A$5:A$16,'월간매출'!A5)-SUMIFS('고정비'!D$5:D$16,'고정비'!A$5:A$16,'월간매출'!A5)-SUMIFS('고정비'!E$5:E$16,'고정비'!A$5:A$16,'월간매출'!A5)-SUMIFS('고정비'!F$5:F$16,'고정비'!A$5:A$16,'월간매출'!A5)-SUMIFS('고정비'!G$5:G$16,'고정비'!A$5:A$16,'월간매출'!A5)-SUMIFS('고정비'!H$5:H$16,'고정비'!A$5:A$16,'월간매출'!A5)-SUMIFS('고정비'!I$5:I$16,'고정비'!A$5:A$16,'월간매출'!A5)-SUMIFS('고정비'!J$5:J$16,'고정비'!A$5:A$16,'월간매출'!A5)-SUMIFS('고정비'!K$5:K$16,'고정비'!A$5:A$16,'월간매출'!A5)-SUMIFS('구매비'!D$5:D$40,'구매비'!A$5:A$40,'월간매출'!A5)-SUMIFS('운영지표'!G$5:G$16,'운영지표'!A$5:A$16,'월간매출'!A5)</x:f>
        <x:v>60120000</x:v>
      </x:c>
    </x:row>
    <x:row r="6">
      <x:c r="A6" t="str">
        <x:v>총인건비</x:v>
      </x:c>
      <x:c r="B6" s="25" t="n">
        <x:f>SUMIFS('인건비'!C5:C40,'인건비'!A5:A40,'월간매출'!A16)+SUMIFS('인건비'!D5:D40,'인건비'!A5:A40,'월간매출'!A16)+SUMIFS('인건비'!E5:E40,'인건비'!A5:A40,'월간매출'!A16)+SUMIFS('인건비'!F5:F40,'인건비'!A5:A40,'월간매출'!A16)</x:f>
        <x:v>110050000</x:v>
      </x:c>
      <x:c r="D6" s="28" t="str">
        <x:f>TEXT('월간매출'!A6,"yyyy-mm")</x:f>
        <x:v>2025-07</x:v>
      </x:c>
      <x:c r="E6" s="29" t="n">
        <x:f>'월간매출'!E6</x:f>
        <x:v>222900000</x:v>
      </x:c>
      <x:c r="F6" s="29" t="n">
        <x:f>E6-SUMIFS('인건비'!C$5:C$40,'인건비'!A$5:A$40,'월간매출'!A6)-SUMIFS('인건비'!D$5:D$40,'인건비'!A$5:A$40,'월간매출'!A6)-SUMIFS('인건비'!E$5:E$40,'인건비'!A$5:A$40,'월간매출'!A6)-SUMIFS('인건비'!F$5:F$40,'인건비'!A$5:A$40,'월간매출'!A6)-SUMIFS('고정비'!B$5:B$16,'고정비'!A$5:A$16,'월간매출'!A6)-SUMIFS('고정비'!C$5:C$16,'고정비'!A$5:A$16,'월간매출'!A6)-SUMIFS('고정비'!D$5:D$16,'고정비'!A$5:A$16,'월간매출'!A6)-SUMIFS('고정비'!E$5:E$16,'고정비'!A$5:A$16,'월간매출'!A6)-SUMIFS('고정비'!F$5:F$16,'고정비'!A$5:A$16,'월간매출'!A6)-SUMIFS('고정비'!G$5:G$16,'고정비'!A$5:A$16,'월간매출'!A6)-SUMIFS('고정비'!H$5:H$16,'고정비'!A$5:A$16,'월간매출'!A6)-SUMIFS('고정비'!I$5:I$16,'고정비'!A$5:A$16,'월간매출'!A6)-SUMIFS('고정비'!J$5:J$16,'고정비'!A$5:A$16,'월간매출'!A6)-SUMIFS('고정비'!K$5:K$16,'고정비'!A$5:A$16,'월간매출'!A6)-SUMIFS('구매비'!D$5:D$40,'구매비'!A$5:A$40,'월간매출'!A6)-SUMIFS('운영지표'!G$5:G$16,'운영지표'!A$5:A$16,'월간매출'!A6)</x:f>
        <x:v>62030000</x:v>
      </x:c>
    </x:row>
    <x:row r="7">
      <x:c r="A7" t="str">
        <x:v>경영잉여</x:v>
      </x:c>
      <x:c r="B7" s="25" t="n">
        <x:f>B5-B6-SUM('고정비'!B16:K16)-SUMIFS('구매비'!D5:D40,'구매비'!A5:A40,'월간매출'!A16)-'운영지표'!G16</x:f>
        <x:v>83830000</x:v>
      </x:c>
      <x:c r="D7" s="28" t="str">
        <x:f>TEXT('월간매출'!A7,"yyyy-mm")</x:f>
        <x:v>2025-08</x:v>
      </x:c>
      <x:c r="E7" s="29" t="n">
        <x:f>'월간매출'!E7</x:f>
        <x:v>225800000</x:v>
      </x:c>
      <x:c r="F7" s="29" t="n">
        <x:f>E7-SUMIFS('인건비'!C$5:C$40,'인건비'!A$5:A$40,'월간매출'!A7)-SUMIFS('인건비'!D$5:D$40,'인건비'!A$5:A$40,'월간매출'!A7)-SUMIFS('인건비'!E$5:E$40,'인건비'!A$5:A$40,'월간매출'!A7)-SUMIFS('인건비'!F$5:F$40,'인건비'!A$5:A$40,'월간매출'!A7)-SUMIFS('고정비'!B$5:B$16,'고정비'!A$5:A$16,'월간매출'!A7)-SUMIFS('고정비'!C$5:C$16,'고정비'!A$5:A$16,'월간매출'!A7)-SUMIFS('고정비'!D$5:D$16,'고정비'!A$5:A$16,'월간매출'!A7)-SUMIFS('고정비'!E$5:E$16,'고정비'!A$5:A$16,'월간매출'!A7)-SUMIFS('고정비'!F$5:F$16,'고정비'!A$5:A$16,'월간매출'!A7)-SUMIFS('고정비'!G$5:G$16,'고정비'!A$5:A$16,'월간매출'!A7)-SUMIFS('고정비'!H$5:H$16,'고정비'!A$5:A$16,'월간매출'!A7)-SUMIFS('고정비'!I$5:I$16,'고정비'!A$5:A$16,'월간매출'!A7)-SUMIFS('고정비'!J$5:J$16,'고정비'!A$5:A$16,'월간매출'!A7)-SUMIFS('고정비'!K$5:K$16,'고정비'!A$5:A$16,'월간매출'!A7)-SUMIFS('구매비'!D$5:D$40,'구매비'!A$5:A$40,'월간매출'!A7)-SUMIFS('운영지표'!G$5:G$16,'운영지표'!A$5:A$16,'월간매출'!A7)</x:f>
        <x:v>63940000</x:v>
      </x:c>
    </x:row>
    <x:row r="8">
      <x:c r="A8" t="str">
        <x:v>경영잉여율</x:v>
      </x:c>
      <x:c r="B8" s="26" t="n">
        <x:f>IFERROR(B7/B5,0)</x:f>
        <x:v>0.3327907899960302</x:v>
      </x:c>
      <x:c r="D8" s="28" t="str">
        <x:f>TEXT('월간매출'!A8,"yyyy-mm")</x:f>
        <x:v>2025-09</x:v>
      </x:c>
      <x:c r="E8" s="29" t="n">
        <x:f>'월간매출'!E8</x:f>
        <x:v>228700000</x:v>
      </x:c>
      <x:c r="F8" s="29" t="n">
        <x:f>E8-SUMIFS('인건비'!C$5:C$40,'인건비'!A$5:A$40,'월간매출'!A8)-SUMIFS('인건비'!D$5:D$40,'인건비'!A$5:A$40,'월간매출'!A8)-SUMIFS('인건비'!E$5:E$40,'인건비'!A$5:A$40,'월간매출'!A8)-SUMIFS('인건비'!F$5:F$40,'인건비'!A$5:A$40,'월간매출'!A8)-SUMIFS('고정비'!B$5:B$16,'고정비'!A$5:A$16,'월간매출'!A8)-SUMIFS('고정비'!C$5:C$16,'고정비'!A$5:A$16,'월간매출'!A8)-SUMIFS('고정비'!D$5:D$16,'고정비'!A$5:A$16,'월간매출'!A8)-SUMIFS('고정비'!E$5:E$16,'고정비'!A$5:A$16,'월간매출'!A8)-SUMIFS('고정비'!F$5:F$16,'고정비'!A$5:A$16,'월간매출'!A8)-SUMIFS('고정비'!G$5:G$16,'고정비'!A$5:A$16,'월간매출'!A8)-SUMIFS('고정비'!H$5:H$16,'고정비'!A$5:A$16,'월간매출'!A8)-SUMIFS('고정비'!I$5:I$16,'고정비'!A$5:A$16,'월간매출'!A8)-SUMIFS('고정비'!J$5:J$16,'고정비'!A$5:A$16,'월간매출'!A8)-SUMIFS('고정비'!K$5:K$16,'고정비'!A$5:A$16,'월간매출'!A8)-SUMIFS('구매비'!D$5:D$40,'구매비'!A$5:A$40,'월간매출'!A8)-SUMIFS('운영지표'!G$5:G$16,'운영지표'!A$5:A$16,'월간매출'!A8)</x:f>
        <x:v>66750000</x:v>
      </x:c>
    </x:row>
    <x:row r="9">
      <x:c r="D9" s="28" t="str">
        <x:f>TEXT('월간매출'!A9,"yyyy-mm")</x:f>
        <x:v>2025-10</x:v>
      </x:c>
      <x:c r="E9" s="29" t="n">
        <x:f>'월간매출'!E9</x:f>
        <x:v>231600000</x:v>
      </x:c>
      <x:c r="F9" s="29" t="n">
        <x:f>E9-SUMIFS('인건비'!C$5:C$40,'인건비'!A$5:A$40,'월간매출'!A9)-SUMIFS('인건비'!D$5:D$40,'인건비'!A$5:A$40,'월간매출'!A9)-SUMIFS('인건비'!E$5:E$40,'인건비'!A$5:A$40,'월간매출'!A9)-SUMIFS('인건비'!F$5:F$40,'인건비'!A$5:A$40,'월간매출'!A9)-SUMIFS('고정비'!B$5:B$16,'고정비'!A$5:A$16,'월간매출'!A9)-SUMIFS('고정비'!C$5:C$16,'고정비'!A$5:A$16,'월간매출'!A9)-SUMIFS('고정비'!D$5:D$16,'고정비'!A$5:A$16,'월간매출'!A9)-SUMIFS('고정비'!E$5:E$16,'고정비'!A$5:A$16,'월간매출'!A9)-SUMIFS('고정비'!F$5:F$16,'고정비'!A$5:A$16,'월간매출'!A9)-SUMIFS('고정비'!G$5:G$16,'고정비'!A$5:A$16,'월간매출'!A9)-SUMIFS('고정비'!H$5:H$16,'고정비'!A$5:A$16,'월간매출'!A9)-SUMIFS('고정비'!I$5:I$16,'고정비'!A$5:A$16,'월간매출'!A9)-SUMIFS('고정비'!J$5:J$16,'고정비'!A$5:A$16,'월간매출'!A9)-SUMIFS('고정비'!K$5:K$16,'고정비'!A$5:A$16,'월간매출'!A9)-SUMIFS('구매비'!D$5:D$40,'구매비'!A$5:A$40,'월간매출'!A9)-SUMIFS('운영지표'!G$5:G$16,'운영지표'!A$5:A$16,'월간매출'!A9)</x:f>
        <x:v>68660000</x:v>
      </x:c>
    </x:row>
    <x:row r="10">
      <x:c r="D10" s="28" t="str">
        <x:f>TEXT('월간매출'!A10,"yyyy-mm")</x:f>
        <x:v>2025-11</x:v>
      </x:c>
      <x:c r="E10" s="29" t="n">
        <x:f>'월간매출'!E10</x:f>
        <x:v>234500000</x:v>
      </x:c>
      <x:c r="F10" s="29" t="n">
        <x:f>E10-SUMIFS('인건비'!C$5:C$40,'인건비'!A$5:A$40,'월간매출'!A10)-SUMIFS('인건비'!D$5:D$40,'인건비'!A$5:A$40,'월간매출'!A10)-SUMIFS('인건비'!E$5:E$40,'인건비'!A$5:A$40,'월간매출'!A10)-SUMIFS('인건비'!F$5:F$40,'인건비'!A$5:A$40,'월간매출'!A10)-SUMIFS('고정비'!B$5:B$16,'고정비'!A$5:A$16,'월간매출'!A10)-SUMIFS('고정비'!C$5:C$16,'고정비'!A$5:A$16,'월간매출'!A10)-SUMIFS('고정비'!D$5:D$16,'고정비'!A$5:A$16,'월간매출'!A10)-SUMIFS('고정비'!E$5:E$16,'고정비'!A$5:A$16,'월간매출'!A10)-SUMIFS('고정비'!F$5:F$16,'고정비'!A$5:A$16,'월간매출'!A10)-SUMIFS('고정비'!G$5:G$16,'고정비'!A$5:A$16,'월간매출'!A10)-SUMIFS('고정비'!H$5:H$16,'고정비'!A$5:A$16,'월간매출'!A10)-SUMIFS('고정비'!I$5:I$16,'고정비'!A$5:A$16,'월간매출'!A10)-SUMIFS('고정비'!J$5:J$16,'고정비'!A$5:A$16,'월간매출'!A10)-SUMIFS('고정비'!K$5:K$16,'고정비'!A$5:A$16,'월간매출'!A10)-SUMIFS('구매비'!D$5:D$40,'구매비'!A$5:A$40,'월간매출'!A10)-SUMIFS('운영지표'!G$5:G$16,'운영지표'!A$5:A$16,'월간매출'!A10)</x:f>
        <x:v>70570000</x:v>
      </x:c>
    </x:row>
    <x:row r="11">
      <x:c r="D11" s="28" t="str">
        <x:f>TEXT('월간매출'!A11,"yyyy-mm")</x:f>
        <x:v>2025-12</x:v>
      </x:c>
      <x:c r="E11" s="29" t="n">
        <x:f>'월간매출'!E11</x:f>
        <x:v>237400000</x:v>
      </x:c>
      <x:c r="F11" s="29" t="n">
        <x:f>E11-SUMIFS('인건비'!C$5:C$40,'인건비'!A$5:A$40,'월간매출'!A11)-SUMIFS('인건비'!D$5:D$40,'인건비'!A$5:A$40,'월간매출'!A11)-SUMIFS('인건비'!E$5:E$40,'인건비'!A$5:A$40,'월간매출'!A11)-SUMIFS('인건비'!F$5:F$40,'인건비'!A$5:A$40,'월간매출'!A11)-SUMIFS('고정비'!B$5:B$16,'고정비'!A$5:A$16,'월간매출'!A11)-SUMIFS('고정비'!C$5:C$16,'고정비'!A$5:A$16,'월간매출'!A11)-SUMIFS('고정비'!D$5:D$16,'고정비'!A$5:A$16,'월간매출'!A11)-SUMIFS('고정비'!E$5:E$16,'고정비'!A$5:A$16,'월간매출'!A11)-SUMIFS('고정비'!F$5:F$16,'고정비'!A$5:A$16,'월간매출'!A11)-SUMIFS('고정비'!G$5:G$16,'고정비'!A$5:A$16,'월간매출'!A11)-SUMIFS('고정비'!H$5:H$16,'고정비'!A$5:A$16,'월간매출'!A11)-SUMIFS('고정비'!I$5:I$16,'고정비'!A$5:A$16,'월간매출'!A11)-SUMIFS('고정비'!J$5:J$16,'고정비'!A$5:A$16,'월간매출'!A11)-SUMIFS('고정비'!K$5:K$16,'고정비'!A$5:A$16,'월간매출'!A11)-SUMIFS('구매비'!D$5:D$40,'구매비'!A$5:A$40,'월간매출'!A11)-SUMIFS('운영지표'!G$5:G$16,'운영지표'!A$5:A$16,'월간매출'!A11)</x:f>
        <x:v>73380000</x:v>
      </x:c>
    </x:row>
    <x:row r="12">
      <x:c r="D12" s="28" t="str">
        <x:f>TEXT('월간매출'!A12,"yyyy-mm")</x:f>
        <x:v>2026-01</x:v>
      </x:c>
      <x:c r="E12" s="29" t="n">
        <x:f>'월간매출'!E12</x:f>
        <x:v>240300000</x:v>
      </x:c>
      <x:c r="F12" s="29" t="n">
        <x:f>E12-SUMIFS('인건비'!C$5:C$40,'인건비'!A$5:A$40,'월간매출'!A12)-SUMIFS('인건비'!D$5:D$40,'인건비'!A$5:A$40,'월간매출'!A12)-SUMIFS('인건비'!E$5:E$40,'인건비'!A$5:A$40,'월간매출'!A12)-SUMIFS('인건비'!F$5:F$40,'인건비'!A$5:A$40,'월간매출'!A12)-SUMIFS('고정비'!B$5:B$16,'고정비'!A$5:A$16,'월간매출'!A12)-SUMIFS('고정비'!C$5:C$16,'고정비'!A$5:A$16,'월간매출'!A12)-SUMIFS('고정비'!D$5:D$16,'고정비'!A$5:A$16,'월간매출'!A12)-SUMIFS('고정비'!E$5:E$16,'고정비'!A$5:A$16,'월간매출'!A12)-SUMIFS('고정비'!F$5:F$16,'고정비'!A$5:A$16,'월간매출'!A12)-SUMIFS('고정비'!G$5:G$16,'고정비'!A$5:A$16,'월간매출'!A12)-SUMIFS('고정비'!H$5:H$16,'고정비'!A$5:A$16,'월간매출'!A12)-SUMIFS('고정비'!I$5:I$16,'고정비'!A$5:A$16,'월간매출'!A12)-SUMIFS('고정비'!J$5:J$16,'고정비'!A$5:A$16,'월간매출'!A12)-SUMIFS('고정비'!K$5:K$16,'고정비'!A$5:A$16,'월간매출'!A12)-SUMIFS('구매비'!D$5:D$40,'구매비'!A$5:A$40,'월간매출'!A12)-SUMIFS('운영지표'!G$5:G$16,'운영지표'!A$5:A$16,'월간매출'!A12)</x:f>
        <x:v>75290000</x:v>
      </x:c>
    </x:row>
    <x:row r="13">
      <x:c r="D13" s="28" t="str">
        <x:f>TEXT('월간매출'!A13,"yyyy-mm")</x:f>
        <x:v>2026-02</x:v>
      </x:c>
      <x:c r="E13" s="29" t="n">
        <x:f>'월간매출'!E13</x:f>
        <x:v>243200000</x:v>
      </x:c>
      <x:c r="F13" s="29" t="n">
        <x:f>E13-SUMIFS('인건비'!C$5:C$40,'인건비'!A$5:A$40,'월간매출'!A13)-SUMIFS('인건비'!D$5:D$40,'인건비'!A$5:A$40,'월간매출'!A13)-SUMIFS('인건비'!E$5:E$40,'인건비'!A$5:A$40,'월간매출'!A13)-SUMIFS('인건비'!F$5:F$40,'인건비'!A$5:A$40,'월간매출'!A13)-SUMIFS('고정비'!B$5:B$16,'고정비'!A$5:A$16,'월간매출'!A13)-SUMIFS('고정비'!C$5:C$16,'고정비'!A$5:A$16,'월간매출'!A13)-SUMIFS('고정비'!D$5:D$16,'고정비'!A$5:A$16,'월간매출'!A13)-SUMIFS('고정비'!E$5:E$16,'고정비'!A$5:A$16,'월간매출'!A13)-SUMIFS('고정비'!F$5:F$16,'고정비'!A$5:A$16,'월간매출'!A13)-SUMIFS('고정비'!G$5:G$16,'고정비'!A$5:A$16,'월간매출'!A13)-SUMIFS('고정비'!H$5:H$16,'고정비'!A$5:A$16,'월간매출'!A13)-SUMIFS('고정비'!I$5:I$16,'고정비'!A$5:A$16,'월간매출'!A13)-SUMIFS('고정비'!J$5:J$16,'고정비'!A$5:A$16,'월간매출'!A13)-SUMIFS('고정비'!K$5:K$16,'고정비'!A$5:A$16,'월간매출'!A13)-SUMIFS('구매비'!D$5:D$40,'구매비'!A$5:A$40,'월간매출'!A13)-SUMIFS('운영지표'!G$5:G$16,'운영지표'!A$5:A$16,'월간매출'!A13)</x:f>
        <x:v>77200000</x:v>
      </x:c>
    </x:row>
    <x:row r="14">
      <x:c r="D14" s="28" t="str">
        <x:f>TEXT('월간매출'!A14,"yyyy-mm")</x:f>
        <x:v>2026-03</x:v>
      </x:c>
      <x:c r="E14" s="29" t="n">
        <x:f>'월간매출'!E14</x:f>
        <x:v>246100000</x:v>
      </x:c>
      <x:c r="F14" s="29" t="n">
        <x:f>E14-SUMIFS('인건비'!C$5:C$40,'인건비'!A$5:A$40,'월간매출'!A14)-SUMIFS('인건비'!D$5:D$40,'인건비'!A$5:A$40,'월간매출'!A14)-SUMIFS('인건비'!E$5:E$40,'인건비'!A$5:A$40,'월간매출'!A14)-SUMIFS('인건비'!F$5:F$40,'인건비'!A$5:A$40,'월간매출'!A14)-SUMIFS('고정비'!B$5:B$16,'고정비'!A$5:A$16,'월간매출'!A14)-SUMIFS('고정비'!C$5:C$16,'고정비'!A$5:A$16,'월간매출'!A14)-SUMIFS('고정비'!D$5:D$16,'고정비'!A$5:A$16,'월간매출'!A14)-SUMIFS('고정비'!E$5:E$16,'고정비'!A$5:A$16,'월간매출'!A14)-SUMIFS('고정비'!F$5:F$16,'고정비'!A$5:A$16,'월간매출'!A14)-SUMIFS('고정비'!G$5:G$16,'고정비'!A$5:A$16,'월간매출'!A14)-SUMIFS('고정비'!H$5:H$16,'고정비'!A$5:A$16,'월간매출'!A14)-SUMIFS('고정비'!I$5:I$16,'고정비'!A$5:A$16,'월간매출'!A14)-SUMIFS('고정비'!J$5:J$16,'고정비'!A$5:A$16,'월간매출'!A14)-SUMIFS('고정비'!K$5:K$16,'고정비'!A$5:A$16,'월간매출'!A14)-SUMIFS('구매비'!D$5:D$40,'구매비'!A$5:A$40,'월간매출'!A14)-SUMIFS('운영지표'!G$5:G$16,'운영지표'!A$5:A$16,'월간매출'!A14)</x:f>
        <x:v>80010000</x:v>
      </x:c>
    </x:row>
    <x:row r="15">
      <x:c r="D15" s="28" t="str">
        <x:f>TEXT('월간매출'!A15,"yyyy-mm")</x:f>
        <x:v>2026-04</x:v>
      </x:c>
      <x:c r="E15" s="29" t="n">
        <x:f>'월간매출'!E15</x:f>
        <x:v>249000000</x:v>
      </x:c>
      <x:c r="F15" s="29" t="n">
        <x:f>E15-SUMIFS('인건비'!C$5:C$40,'인건비'!A$5:A$40,'월간매출'!A15)-SUMIFS('인건비'!D$5:D$40,'인건비'!A$5:A$40,'월간매출'!A15)-SUMIFS('인건비'!E$5:E$40,'인건비'!A$5:A$40,'월간매출'!A15)-SUMIFS('인건비'!F$5:F$40,'인건비'!A$5:A$40,'월간매출'!A15)-SUMIFS('고정비'!B$5:B$16,'고정비'!A$5:A$16,'월간매출'!A15)-SUMIFS('고정비'!C$5:C$16,'고정비'!A$5:A$16,'월간매출'!A15)-SUMIFS('고정비'!D$5:D$16,'고정비'!A$5:A$16,'월간매출'!A15)-SUMIFS('고정비'!E$5:E$16,'고정비'!A$5:A$16,'월간매출'!A15)-SUMIFS('고정비'!F$5:F$16,'고정비'!A$5:A$16,'월간매출'!A15)-SUMIFS('고정비'!G$5:G$16,'고정비'!A$5:A$16,'월간매출'!A15)-SUMIFS('고정비'!H$5:H$16,'고정비'!A$5:A$16,'월간매출'!A15)-SUMIFS('고정비'!I$5:I$16,'고정비'!A$5:A$16,'월간매출'!A15)-SUMIFS('고정비'!J$5:J$16,'고정비'!A$5:A$16,'월간매출'!A15)-SUMIFS('고정비'!K$5:K$16,'고정비'!A$5:A$16,'월간매출'!A15)-SUMIFS('구매비'!D$5:D$40,'구매비'!A$5:A$40,'월간매출'!A15)-SUMIFS('운영지표'!G$5:G$16,'운영지표'!A$5:A$16,'월간매출'!A15)</x:f>
        <x:v>81920000</x:v>
      </x:c>
    </x:row>
    <x:row r="16">
      <x:c r="D16" s="28" t="str">
        <x:f>TEXT('월간매출'!A16,"yyyy-mm")</x:f>
        <x:v>2026-05</x:v>
      </x:c>
      <x:c r="E16" s="29" t="n">
        <x:f>'월간매출'!E16</x:f>
        <x:v>251900000</x:v>
      </x:c>
      <x:c r="F16" s="29" t="n">
        <x:f>E16-SUMIFS('인건비'!C$5:C$40,'인건비'!A$5:A$40,'월간매출'!A16)-SUMIFS('인건비'!D$5:D$40,'인건비'!A$5:A$40,'월간매출'!A16)-SUMIFS('인건비'!E$5:E$40,'인건비'!A$5:A$40,'월간매출'!A16)-SUMIFS('인건비'!F$5:F$40,'인건비'!A$5:A$40,'월간매출'!A16)-SUMIFS('고정비'!B$5:B$16,'고정비'!A$5:A$16,'월간매출'!A16)-SUMIFS('고정비'!C$5:C$16,'고정비'!A$5:A$16,'월간매출'!A16)-SUMIFS('고정비'!D$5:D$16,'고정비'!A$5:A$16,'월간매출'!A16)-SUMIFS('고정비'!E$5:E$16,'고정비'!A$5:A$16,'월간매출'!A16)-SUMIFS('고정비'!F$5:F$16,'고정비'!A$5:A$16,'월간매출'!A16)-SUMIFS('고정비'!G$5:G$16,'고정비'!A$5:A$16,'월간매출'!A16)-SUMIFS('고정비'!H$5:H$16,'고정비'!A$5:A$16,'월간매출'!A16)-SUMIFS('고정비'!I$5:I$16,'고정비'!A$5:A$16,'월간매출'!A16)-SUMIFS('고정비'!J$5:J$16,'고정비'!A$5:A$16,'월간매출'!A16)-SUMIFS('고정비'!K$5:K$16,'고정비'!A$5:A$16,'월간매출'!A16)-SUMIFS('구매비'!D$5:D$40,'구매비'!A$5:A$40,'월간매출'!A16)-SUMIFS('운영지표'!G$5:G$16,'운영지표'!A$5:A$16,'월간매출'!A16)</x:f>
        <x:v>83830000</x:v>
      </x:c>
    </x:row>
  </x:sheetData>
  <x:mergeCells>
    <x:mergeCell ref="A1:J2"/>
  </x:mergeCells>
  <x:pageMargins left="0.7" right="0.7" top="0.75" bottom="0.75" header="0.3" footer="0.3"/>
  <x:drawing xmlns:r="http://schemas.openxmlformats.org/officeDocument/2006/relationships" r:id="Re9a95cae1972402d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1" hidden="0" customWidth="1"/>
    <x:col min="3" max="3" width="21" hidden="0" customWidth="1"/>
    <x:col min="4" max="4" width="21" hidden="0" customWidth="1"/>
    <x:col min="5" max="5" width="18" hidden="0" customWidth="1"/>
  </x:cols>
  <x:sheetData>
    <x:row r="1" ht="34" customHeight="1">
      <x:c r="A1" s="4" t="str">
        <x:v>업로드 전 검증</x:v>
      </x:c>
      <x:c r="B1" s="4"/>
      <x:c r="C1" s="4"/>
      <x:c r="D1" s="4"/>
      <x:c r="E1" s="4"/>
      <x:c r="F1" s="4"/>
      <x:c r="G1" s="4"/>
    </x:row>
    <x:row r="2" ht="34" customHeight="1">
      <x:c r="A2" s="4"/>
      <x:c r="B2" s="4"/>
      <x:c r="C2" s="4"/>
      <x:c r="D2" s="4"/>
      <x:c r="E2" s="4"/>
      <x:c r="F2" s="4"/>
      <x:c r="G2" s="4"/>
    </x:row>
    <x:row r="4" ht="30" customHeight="1">
      <x:c r="A4" s="13" t="str">
        <x:v>점검항목</x:v>
      </x:c>
      <x:c r="B4" s="13" t="str">
        <x:v>실제값</x:v>
      </x:c>
      <x:c r="C4" s="13" t="str">
        <x:v>기대값</x:v>
      </x:c>
      <x:c r="D4" s="13" t="str">
        <x:v>차이</x:v>
      </x:c>
      <x:c r="E4" s="13" t="str">
        <x:v>상태</x:v>
      </x:c>
    </x:row>
    <x:row r="5">
      <x:c r="A5" t="str">
        <x:v>최근월 매출 합계</x:v>
      </x:c>
      <x:c r="B5" s="33" t="n">
        <x:f>'월간매출'!E16</x:f>
        <x:v>251900000</x:v>
      </x:c>
      <x:c r="C5" s="33" t="n">
        <x:f>SUM('월간매출'!B16:D16)</x:f>
        <x:v>251900000</x:v>
      </x:c>
      <x:c r="D5" s="33" t="n">
        <x:f>B5-C5</x:f>
        <x:v>0</x:v>
      </x:c>
      <x:c r="E5" s="34" t="str">
        <x:f>IF(ABS(D5)&lt;1,"OK","확인")</x:f>
        <x:v>OK</x:v>
      </x:c>
    </x:row>
    <x:row r="6">
      <x:c r="A6" t="str">
        <x:v>최근월 신환+재진 vs 내원환자</x:v>
      </x:c>
      <x:c r="B6" s="35" t="n">
        <x:f>'원무지표'!B16+'원무지표'!D16</x:f>
        <x:v>3285</x:v>
      </x:c>
      <x:c r="C6" s="35" t="n">
        <x:f>'원무지표'!C16</x:f>
        <x:v>3285</x:v>
      </x:c>
      <x:c r="D6" s="35" t="n">
        <x:f>B6-C6</x:f>
        <x:v>0</x:v>
      </x:c>
      <x:c r="E6" s="34" t="str">
        <x:f>IF(ABS(D6)&lt;1,"OK","확인")</x:f>
        <x:v>OK</x:v>
      </x:c>
    </x:row>
    <x:row r="7">
      <x:c r="A7" t="str">
        <x:v>주상병 집계는 개인식별정보 미포함 확인</x:v>
      </x:c>
      <x:c r="B7" s="34" t="str">
        <x:v>작성자 확인 필요</x:v>
      </x:c>
      <x:c r="C7" s="34" t="str">
        <x:v>확인 완료</x:v>
      </x:c>
      <x:c r="D7" s="34" t="str"/>
      <x:c r="E7" s="34" t="str">
        <x:v>확인 필요</x:v>
      </x:c>
    </x:row>
    <x:row r="8">
      <x:c r="A8" t="str">
        <x:v>샘플자료를 실제 자료로 교체 확인</x:v>
      </x:c>
      <x:c r="B8" s="34" t="str">
        <x:v>작성자 확인 필요</x:v>
      </x:c>
      <x:c r="C8" s="34" t="str">
        <x:v>확인 완료</x:v>
      </x:c>
      <x:c r="D8" s="34" t="str"/>
      <x:c r="E8" s="34" t="str">
        <x:v>확인 필요</x:v>
      </x:c>
    </x:row>
  </x:sheetData>
  <x:mergeCells>
    <x:mergeCell ref="A1:G2"/>
  </x:mergeCells>
  <x:pageMargins left="0.7" right="0.7" top="0.75" bottom="0.75" header="0.3" footer="0.3"/>
</x:worksheet>
</file>